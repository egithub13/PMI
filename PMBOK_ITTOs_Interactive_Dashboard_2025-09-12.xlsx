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eric.hayes\Documents\PMI\"/>
    </mc:Choice>
  </mc:AlternateContent>
  <xr:revisionPtr revIDLastSave="0" documentId="13_ncr:1_{7EC7EA0E-B902-42FC-8A59-88E7DF3FB809}" xr6:coauthVersionLast="47" xr6:coauthVersionMax="47" xr10:uidLastSave="{00000000-0000-0000-0000-000000000000}"/>
  <bookViews>
    <workbookView xWindow="16170" yWindow="-16320" windowWidth="29040" windowHeight="16440" firstSheet="16" activeTab="19" xr2:uid="{00000000-000D-0000-FFFF-FFFF00000000}"/>
  </bookViews>
  <sheets>
    <sheet name="Definitions" sheetId="16" r:id="rId1"/>
    <sheet name="Processes &amp; Knowledge Areas" sheetId="7" r:id="rId2"/>
    <sheet name="All ITTOs Summary" sheetId="2" r:id="rId3"/>
    <sheet name="Process Reference" sheetId="3" r:id="rId4"/>
    <sheet name="Inputs" sheetId="4" r:id="rId5"/>
    <sheet name="Tools &amp; Techniques" sheetId="5" r:id="rId6"/>
    <sheet name="Outputs" sheetId="6" r:id="rId7"/>
    <sheet name="Sheet1" sheetId="14" r:id="rId8"/>
    <sheet name="Diagrams" sheetId="8" r:id="rId9"/>
    <sheet name="CH2 Terms" sheetId="12" r:id="rId10"/>
    <sheet name="CH3 Processes" sheetId="13" r:id="rId11"/>
    <sheet name="CH4 Agile" sheetId="9" r:id="rId12"/>
    <sheet name="CH5 IntegrationMGMT" sheetId="11" r:id="rId13"/>
    <sheet name="CH6 Project Scope Management" sheetId="15" r:id="rId14"/>
    <sheet name="CH7 Project Schedule Management" sheetId="17" r:id="rId15"/>
    <sheet name="CH8 Project Cost Management" sheetId="18" r:id="rId16"/>
    <sheet name="Interactive Dashboard" sheetId="1" r:id="rId17"/>
    <sheet name="CH9 Project Quality Management" sheetId="19" r:id="rId18"/>
    <sheet name="CH10 Project Resource Managemen" sheetId="20" r:id="rId19"/>
    <sheet name="CH10 Project Comms Manag" sheetId="22" r:id="rId20"/>
    <sheet name="Sheet3" sheetId="21" r:id="rId21"/>
  </sheets>
  <definedNames>
    <definedName name="Slicer_ITTO_Name">#N/A</definedName>
    <definedName name="Slicer_ITTO_Type">#N/A</definedName>
    <definedName name="Slicer_Proces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2"/>
        <x14:slicerCache r:id="rId23"/>
        <x14:slicerCache r:id="rId2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22" l="1"/>
  <c r="C33" i="20"/>
  <c r="C33" i="19"/>
  <c r="C33" i="18"/>
  <c r="C33" i="17"/>
  <c r="C33" i="15"/>
  <c r="C22" i="13"/>
</calcChain>
</file>

<file path=xl/sharedStrings.xml><?xml version="1.0" encoding="utf-8"?>
<sst xmlns="http://schemas.openxmlformats.org/spreadsheetml/2006/main" count="6246" uniqueCount="576">
  <si>
    <t>Process</t>
  </si>
  <si>
    <t>Knowledge Area</t>
  </si>
  <si>
    <t>Process Group</t>
  </si>
  <si>
    <t>ITTO Type</t>
  </si>
  <si>
    <t>ITTO ID</t>
  </si>
  <si>
    <t>ITTO Name</t>
  </si>
  <si>
    <t>Usage Count</t>
  </si>
  <si>
    <t>Develop Project Charter</t>
  </si>
  <si>
    <t>Integration Management</t>
  </si>
  <si>
    <t>Initiating</t>
  </si>
  <si>
    <t>Input</t>
  </si>
  <si>
    <t>I001</t>
  </si>
  <si>
    <t>Business case</t>
  </si>
  <si>
    <t>I002</t>
  </si>
  <si>
    <t>Benefits management plan</t>
  </si>
  <si>
    <t>I003</t>
  </si>
  <si>
    <t>Agreements</t>
  </si>
  <si>
    <t>I004</t>
  </si>
  <si>
    <t>Enterprise environmental factors</t>
  </si>
  <si>
    <t>I005</t>
  </si>
  <si>
    <t>Organizational process assets</t>
  </si>
  <si>
    <t>Tool/Technique</t>
  </si>
  <si>
    <t>T001</t>
  </si>
  <si>
    <t>Expert judgment</t>
  </si>
  <si>
    <t>T002</t>
  </si>
  <si>
    <t>Data gathering</t>
  </si>
  <si>
    <t>T003</t>
  </si>
  <si>
    <t>Interpersonal and team skills</t>
  </si>
  <si>
    <t>T004</t>
  </si>
  <si>
    <t>Meetings</t>
  </si>
  <si>
    <t>Output</t>
  </si>
  <si>
    <t>O001</t>
  </si>
  <si>
    <t>Project charter</t>
  </si>
  <si>
    <t>O002</t>
  </si>
  <si>
    <t>Assumption log</t>
  </si>
  <si>
    <t>Identify Stakeholders</t>
  </si>
  <si>
    <t>Stakeholder Management</t>
  </si>
  <si>
    <t>I006</t>
  </si>
  <si>
    <t>I007</t>
  </si>
  <si>
    <t>Business documents</t>
  </si>
  <si>
    <t>I008</t>
  </si>
  <si>
    <t>Project management plan</t>
  </si>
  <si>
    <t>I009</t>
  </si>
  <si>
    <t>Project documents</t>
  </si>
  <si>
    <t>T005</t>
  </si>
  <si>
    <t>Data analysis</t>
  </si>
  <si>
    <t>T006</t>
  </si>
  <si>
    <t>Data representation</t>
  </si>
  <si>
    <t>O003</t>
  </si>
  <si>
    <t>Stakeholder register</t>
  </si>
  <si>
    <t>O004</t>
  </si>
  <si>
    <t>Change requests</t>
  </si>
  <si>
    <t>O005</t>
  </si>
  <si>
    <t>Project management plan updates</t>
  </si>
  <si>
    <t>O006</t>
  </si>
  <si>
    <t>Project documents updates</t>
  </si>
  <si>
    <t>Develop Project Management Plan</t>
  </si>
  <si>
    <t>Planning</t>
  </si>
  <si>
    <t>I010</t>
  </si>
  <si>
    <t>Outputs from other processes</t>
  </si>
  <si>
    <t>O007</t>
  </si>
  <si>
    <t>Plan Scope Management</t>
  </si>
  <si>
    <t>Scope Management</t>
  </si>
  <si>
    <t>O008</t>
  </si>
  <si>
    <t>Scope management plan</t>
  </si>
  <si>
    <t>O009</t>
  </si>
  <si>
    <t>Requirements management plan</t>
  </si>
  <si>
    <t>Collect Requirements</t>
  </si>
  <si>
    <t>T007</t>
  </si>
  <si>
    <t>Decision making</t>
  </si>
  <si>
    <t>T008</t>
  </si>
  <si>
    <t>Context diagrams</t>
  </si>
  <si>
    <t>T009</t>
  </si>
  <si>
    <t>Prototypes</t>
  </si>
  <si>
    <t>O010</t>
  </si>
  <si>
    <t>Requirements documentation</t>
  </si>
  <si>
    <t>O011</t>
  </si>
  <si>
    <t>Requirements traceability matrix</t>
  </si>
  <si>
    <t>Define Scope</t>
  </si>
  <si>
    <t>T010</t>
  </si>
  <si>
    <t>Product analysis</t>
  </si>
  <si>
    <t>O012</t>
  </si>
  <si>
    <t>Project scope statement</t>
  </si>
  <si>
    <t>Create WBS</t>
  </si>
  <si>
    <t>T011</t>
  </si>
  <si>
    <t>Decomposition</t>
  </si>
  <si>
    <t>O013</t>
  </si>
  <si>
    <t>Scope baseline</t>
  </si>
  <si>
    <t>Plan Schedule Management</t>
  </si>
  <si>
    <t>Schedule Management</t>
  </si>
  <si>
    <t>O014</t>
  </si>
  <si>
    <t>Schedule management plan</t>
  </si>
  <si>
    <t>Define Activities</t>
  </si>
  <si>
    <t>T012</t>
  </si>
  <si>
    <t>Rolling wave planning</t>
  </si>
  <si>
    <t>O015</t>
  </si>
  <si>
    <t>Activity list</t>
  </si>
  <si>
    <t>O016</t>
  </si>
  <si>
    <t>Activity attributes</t>
  </si>
  <si>
    <t>O017</t>
  </si>
  <si>
    <t>Milestone list</t>
  </si>
  <si>
    <t>Sequence Activities</t>
  </si>
  <si>
    <t>T013</t>
  </si>
  <si>
    <t>Precedence diagramming method</t>
  </si>
  <si>
    <t>T014</t>
  </si>
  <si>
    <t>Dependency determination and integration</t>
  </si>
  <si>
    <t>T015</t>
  </si>
  <si>
    <t>Leads and lags</t>
  </si>
  <si>
    <t>T016</t>
  </si>
  <si>
    <t>Project management information system</t>
  </si>
  <si>
    <t>O018</t>
  </si>
  <si>
    <t>Project schedule network diagrams</t>
  </si>
  <si>
    <t>Estimate Activity Durations</t>
  </si>
  <si>
    <t>T017</t>
  </si>
  <si>
    <t>Analogous estimating</t>
  </si>
  <si>
    <t>T018</t>
  </si>
  <si>
    <t>Parametric estimating</t>
  </si>
  <si>
    <t>T019</t>
  </si>
  <si>
    <t>Three-point estimating</t>
  </si>
  <si>
    <t>T020</t>
  </si>
  <si>
    <t>Bottom-up estimating</t>
  </si>
  <si>
    <t>O019</t>
  </si>
  <si>
    <t>Duration estimates</t>
  </si>
  <si>
    <t>O020</t>
  </si>
  <si>
    <t>Basis of estimates</t>
  </si>
  <si>
    <t>Develop Schedule</t>
  </si>
  <si>
    <t>T021</t>
  </si>
  <si>
    <t>Schedule network analysis</t>
  </si>
  <si>
    <t>T022</t>
  </si>
  <si>
    <t>Critical path method</t>
  </si>
  <si>
    <t>T023</t>
  </si>
  <si>
    <t>Resource optimization</t>
  </si>
  <si>
    <t>T024</t>
  </si>
  <si>
    <t>Schedule compression</t>
  </si>
  <si>
    <t>T025</t>
  </si>
  <si>
    <t>Agile release planning</t>
  </si>
  <si>
    <t>O021</t>
  </si>
  <si>
    <t>Schedule baseline</t>
  </si>
  <si>
    <t>O022</t>
  </si>
  <si>
    <t>Project schedule</t>
  </si>
  <si>
    <t>O023</t>
  </si>
  <si>
    <t>Schedule data</t>
  </si>
  <si>
    <t>O024</t>
  </si>
  <si>
    <t>Project calendars</t>
  </si>
  <si>
    <t>Plan Cost Management</t>
  </si>
  <si>
    <t>Cost Management</t>
  </si>
  <si>
    <t>O025</t>
  </si>
  <si>
    <t>Cost management plan</t>
  </si>
  <si>
    <t>Estimate Costs</t>
  </si>
  <si>
    <t>O026</t>
  </si>
  <si>
    <t>Cost estimates</t>
  </si>
  <si>
    <t>Determine Budget</t>
  </si>
  <si>
    <t>T026</t>
  </si>
  <si>
    <t>Cost aggregation</t>
  </si>
  <si>
    <t>T027</t>
  </si>
  <si>
    <t>Historical information review</t>
  </si>
  <si>
    <t>T028</t>
  </si>
  <si>
    <t>Funding limit reconciliation</t>
  </si>
  <si>
    <t>T029</t>
  </si>
  <si>
    <t>Financing</t>
  </si>
  <si>
    <t>O027</t>
  </si>
  <si>
    <t>Cost baseline</t>
  </si>
  <si>
    <t>O028</t>
  </si>
  <si>
    <t>Project funding requirements</t>
  </si>
  <si>
    <t>Plan Quality Management</t>
  </si>
  <si>
    <t>Quality Management</t>
  </si>
  <si>
    <t>T030</t>
  </si>
  <si>
    <t>Test and inspection planning</t>
  </si>
  <si>
    <t>O029</t>
  </si>
  <si>
    <t>Quality management plan</t>
  </si>
  <si>
    <t>O030</t>
  </si>
  <si>
    <t>Quality metrics</t>
  </si>
  <si>
    <t>Plan Resource Management</t>
  </si>
  <si>
    <t>Resource Management</t>
  </si>
  <si>
    <t>T031</t>
  </si>
  <si>
    <t>Organizational theory</t>
  </si>
  <si>
    <t>O031</t>
  </si>
  <si>
    <t>Resource management plan</t>
  </si>
  <si>
    <t>O032</t>
  </si>
  <si>
    <t>Team charter</t>
  </si>
  <si>
    <t>Estimate Activity Resources</t>
  </si>
  <si>
    <t>O033</t>
  </si>
  <si>
    <t>Resource requirements</t>
  </si>
  <si>
    <t>O034</t>
  </si>
  <si>
    <t>Resource breakdown structure</t>
  </si>
  <si>
    <t>Plan Communications Management</t>
  </si>
  <si>
    <t>Communications Management</t>
  </si>
  <si>
    <t>T032</t>
  </si>
  <si>
    <t>Communication requirements analysis</t>
  </si>
  <si>
    <t>T033</t>
  </si>
  <si>
    <t>Communication technology</t>
  </si>
  <si>
    <t>T034</t>
  </si>
  <si>
    <t>Communication models</t>
  </si>
  <si>
    <t>T035</t>
  </si>
  <si>
    <t>Communication methods</t>
  </si>
  <si>
    <t>O035</t>
  </si>
  <si>
    <t>Communications management plan</t>
  </si>
  <si>
    <t>Plan Risk Management</t>
  </si>
  <si>
    <t>Risk Management</t>
  </si>
  <si>
    <t>O036</t>
  </si>
  <si>
    <t>Risk management plan</t>
  </si>
  <si>
    <t>Identify Risks</t>
  </si>
  <si>
    <t>I011</t>
  </si>
  <si>
    <t>Procurement documentation</t>
  </si>
  <si>
    <t>T036</t>
  </si>
  <si>
    <t>Prompt lists</t>
  </si>
  <si>
    <t>O037</t>
  </si>
  <si>
    <t>Risk register</t>
  </si>
  <si>
    <t>O038</t>
  </si>
  <si>
    <t>Risk report</t>
  </si>
  <si>
    <t>Perform Qualitative Risk Analysis</t>
  </si>
  <si>
    <t>T037</t>
  </si>
  <si>
    <t>Risk categorization</t>
  </si>
  <si>
    <t>Perform Quantitative Risk Analysis</t>
  </si>
  <si>
    <t>T038</t>
  </si>
  <si>
    <t>Representations of uncertainty</t>
  </si>
  <si>
    <t>Plan Risk Responses</t>
  </si>
  <si>
    <t>T039</t>
  </si>
  <si>
    <t>Strategies for threats</t>
  </si>
  <si>
    <t>T040</t>
  </si>
  <si>
    <t>Strategies for opportunities</t>
  </si>
  <si>
    <t>T041</t>
  </si>
  <si>
    <t>Contingent response strategies</t>
  </si>
  <si>
    <t>T042</t>
  </si>
  <si>
    <t>Strategies for overall project risk</t>
  </si>
  <si>
    <t>Plan Procurement Management</t>
  </si>
  <si>
    <t>Procurement Management</t>
  </si>
  <si>
    <t>T043</t>
  </si>
  <si>
    <t>Source selection analysis</t>
  </si>
  <si>
    <t>O039</t>
  </si>
  <si>
    <t>Procurement management plan</t>
  </si>
  <si>
    <t>O040</t>
  </si>
  <si>
    <t>Procurement strategy</t>
  </si>
  <si>
    <t>O041</t>
  </si>
  <si>
    <t>Bid documents</t>
  </si>
  <si>
    <t>O042</t>
  </si>
  <si>
    <t>Procurement statement of work</t>
  </si>
  <si>
    <t>O043</t>
  </si>
  <si>
    <t>Source selection criteria</t>
  </si>
  <si>
    <t>O044</t>
  </si>
  <si>
    <t>Make-or-buy decisions</t>
  </si>
  <si>
    <t>O045</t>
  </si>
  <si>
    <t>Independent cost estimates</t>
  </si>
  <si>
    <t>O046</t>
  </si>
  <si>
    <t>Organizational process assets updates</t>
  </si>
  <si>
    <t>Plan Stakeholder Engagement</t>
  </si>
  <si>
    <t>O047</t>
  </si>
  <si>
    <t>Stakeholder engagement plan</t>
  </si>
  <si>
    <t>Direct and Manage Project Work</t>
  </si>
  <si>
    <t>Executing</t>
  </si>
  <si>
    <t>I012</t>
  </si>
  <si>
    <t>Approved change requests</t>
  </si>
  <si>
    <t>O048</t>
  </si>
  <si>
    <t>Deliverables</t>
  </si>
  <si>
    <t>O049</t>
  </si>
  <si>
    <t>Work performance data</t>
  </si>
  <si>
    <t>O050</t>
  </si>
  <si>
    <t>Issue log</t>
  </si>
  <si>
    <t>Manage Project Knowledge</t>
  </si>
  <si>
    <t>I013</t>
  </si>
  <si>
    <t>T044</t>
  </si>
  <si>
    <t>Knowledge management</t>
  </si>
  <si>
    <t>T045</t>
  </si>
  <si>
    <t>Information management</t>
  </si>
  <si>
    <t>O051</t>
  </si>
  <si>
    <t>Lessons learned register</t>
  </si>
  <si>
    <t>Manage Quality</t>
  </si>
  <si>
    <t>T046</t>
  </si>
  <si>
    <t>Audits</t>
  </si>
  <si>
    <t>T047</t>
  </si>
  <si>
    <t>Design for X</t>
  </si>
  <si>
    <t>T048</t>
  </si>
  <si>
    <t>Problem solving</t>
  </si>
  <si>
    <t>T049</t>
  </si>
  <si>
    <t>Quality improvement methods</t>
  </si>
  <si>
    <t>O052</t>
  </si>
  <si>
    <t>Quality reports</t>
  </si>
  <si>
    <t>O053</t>
  </si>
  <si>
    <t>Test and evaluation documents</t>
  </si>
  <si>
    <t>Acquire Resources</t>
  </si>
  <si>
    <t>T050</t>
  </si>
  <si>
    <t>Pre-assignment</t>
  </si>
  <si>
    <t>T051</t>
  </si>
  <si>
    <t>Virtual teams</t>
  </si>
  <si>
    <t>O054</t>
  </si>
  <si>
    <t>Physical resource assignments</t>
  </si>
  <si>
    <t>O055</t>
  </si>
  <si>
    <t>Project team assignments</t>
  </si>
  <si>
    <t>O056</t>
  </si>
  <si>
    <t>Resource calendars</t>
  </si>
  <si>
    <t>O057</t>
  </si>
  <si>
    <t>Enterprise environmental factors updates</t>
  </si>
  <si>
    <t>Develop Team</t>
  </si>
  <si>
    <t>T052</t>
  </si>
  <si>
    <t>Colocation</t>
  </si>
  <si>
    <t>T053</t>
  </si>
  <si>
    <t>Recognition and rewards</t>
  </si>
  <si>
    <t>T054</t>
  </si>
  <si>
    <t>Training</t>
  </si>
  <si>
    <t>T055</t>
  </si>
  <si>
    <t>Individual and team assessments</t>
  </si>
  <si>
    <t>O058</t>
  </si>
  <si>
    <t>Team performance assessments</t>
  </si>
  <si>
    <t>Manage Team</t>
  </si>
  <si>
    <t>I014</t>
  </si>
  <si>
    <t>Work performance reports</t>
  </si>
  <si>
    <t>I015</t>
  </si>
  <si>
    <t>Manage Communications</t>
  </si>
  <si>
    <t>T056</t>
  </si>
  <si>
    <t>Communication skills</t>
  </si>
  <si>
    <t>T057</t>
  </si>
  <si>
    <t>Project reporting</t>
  </si>
  <si>
    <t>O059</t>
  </si>
  <si>
    <t>Project communications</t>
  </si>
  <si>
    <t>Implement Risk Responses</t>
  </si>
  <si>
    <t>I016</t>
  </si>
  <si>
    <t>Conduct Procurements</t>
  </si>
  <si>
    <t>I017</t>
  </si>
  <si>
    <t>Seller proposals</t>
  </si>
  <si>
    <t>T058</t>
  </si>
  <si>
    <t>Advertising</t>
  </si>
  <si>
    <t>T059</t>
  </si>
  <si>
    <t>Bidder conferences</t>
  </si>
  <si>
    <t>O060</t>
  </si>
  <si>
    <t>Selected sellers</t>
  </si>
  <si>
    <t>O061</t>
  </si>
  <si>
    <t>Manage Stakeholder Engagement</t>
  </si>
  <si>
    <t>T060</t>
  </si>
  <si>
    <t>Ground rules</t>
  </si>
  <si>
    <t>Monitor and Control Project Work</t>
  </si>
  <si>
    <t>Monitoring &amp; Controlling</t>
  </si>
  <si>
    <t>I018</t>
  </si>
  <si>
    <t>Work performance information</t>
  </si>
  <si>
    <t>O062</t>
  </si>
  <si>
    <t>Perform Integrated Change Control</t>
  </si>
  <si>
    <t>T061</t>
  </si>
  <si>
    <t>Change control tools</t>
  </si>
  <si>
    <t>O063</t>
  </si>
  <si>
    <t>Validate Scope</t>
  </si>
  <si>
    <t>I019</t>
  </si>
  <si>
    <t>Verified deliverables</t>
  </si>
  <si>
    <t>I020</t>
  </si>
  <si>
    <t>T062</t>
  </si>
  <si>
    <t>Inspection</t>
  </si>
  <si>
    <t>O064</t>
  </si>
  <si>
    <t>Accepted deliverables</t>
  </si>
  <si>
    <t>O065</t>
  </si>
  <si>
    <t>Control Scope</t>
  </si>
  <si>
    <t>T063</t>
  </si>
  <si>
    <t>Variance analysis</t>
  </si>
  <si>
    <t>Control Schedule</t>
  </si>
  <si>
    <t>O066</t>
  </si>
  <si>
    <t>Schedule forecasts</t>
  </si>
  <si>
    <t>Control Costs</t>
  </si>
  <si>
    <t>I021</t>
  </si>
  <si>
    <t>T064</t>
  </si>
  <si>
    <t>To-complete performance index</t>
  </si>
  <si>
    <t>O067</t>
  </si>
  <si>
    <t>Cost forecasts</t>
  </si>
  <si>
    <t>Control Quality</t>
  </si>
  <si>
    <t>T065</t>
  </si>
  <si>
    <t>Testing/product evaluations</t>
  </si>
  <si>
    <t>O068</t>
  </si>
  <si>
    <t>Quality control measurements</t>
  </si>
  <si>
    <t>O069</t>
  </si>
  <si>
    <t>Control Resources</t>
  </si>
  <si>
    <t>Monitor Communications</t>
  </si>
  <si>
    <t>Monitor Risks</t>
  </si>
  <si>
    <t>Control Procurements</t>
  </si>
  <si>
    <t>T066</t>
  </si>
  <si>
    <t>Claims administration</t>
  </si>
  <si>
    <t>O070</t>
  </si>
  <si>
    <t>Closed procurements</t>
  </si>
  <si>
    <t>O071</t>
  </si>
  <si>
    <t>Procurement documentation updates</t>
  </si>
  <si>
    <t>Monitor Stakeholder Engagement</t>
  </si>
  <si>
    <t>Close Project or Phase</t>
  </si>
  <si>
    <t>Closing</t>
  </si>
  <si>
    <t>I022</t>
  </si>
  <si>
    <t>O072</t>
  </si>
  <si>
    <t>Final product/service/result transition</t>
  </si>
  <si>
    <t>O073</t>
  </si>
  <si>
    <t>Final report</t>
  </si>
  <si>
    <t>ID</t>
  </si>
  <si>
    <t>Type</t>
  </si>
  <si>
    <t>Name</t>
  </si>
  <si>
    <t>Primary Process</t>
  </si>
  <si>
    <t>Knowledge Areas</t>
  </si>
  <si>
    <t>All Processes</t>
  </si>
  <si>
    <t>Integration Management, Stakeholder Management, Scope Management, Schedule Management, Cost Management, Risk Management, Resource Management, Procurement Management</t>
  </si>
  <si>
    <t>Develop Project Charter, Identify Stakeholders, Collect Requirements, Develop Schedule, Determine Budget, Identify Risks, Plan Stakeholder Engagement, Monitor and Control Project Work, Control Resources, Control Procurements, Close Project or Phase</t>
  </si>
  <si>
    <t>Integration Management, Stakeholder Management, Scope Management, Schedule Management, Cost Management, Quality Management, Resource Management, Communications Management, Risk Management, Procurement Management</t>
  </si>
  <si>
    <t>Develop Project Charter, Identify Stakeholders, Develop Project Management Plan, Plan Scope Management, Collect Requirements, Define Scope, Create WBS, Plan Schedule Management, Define Activities, Sequence Activities, Estimate Activity Durations, Develop Schedule, Plan Cost Management, Estimate Costs, Determine Budget, Plan Quality Management, Plan Resource Management, Estimate Activity Resources, Plan Communications Management, Plan Risk Management, Identify Risks, Perform Qualitative Risk Analysis, Perform Quantitative Risk Analysis, Plan Risk Responses, Plan Procurement Management, Plan Stakeholder Engagement, Direct and Manage Project Work, Manage Project Knowledge, Acquire Resources, Develop Team, Manage Team, Manage Communications, Conduct Procurements, Manage Stakeholder Engagement, Monitor and Control Project Work, Perform Integrated Change Control, Control Quality, Monitor Communications, Control Procurements, Monitor Stakeholder Engagement</t>
  </si>
  <si>
    <t>Develop Project Charter, Identify Stakeholders, Develop Project Management Plan, Plan Scope Management, Collect Requirements, Define Scope, Create WBS, Plan Schedule Management, Define Activities, Sequence Activities, Estimate Activity Durations, Develop Schedule, Plan Cost Management, Estimate Costs, Determine Budget, Plan Quality Management, Plan Resource Management, Estimate Activity Resources, Plan Communications Management, Plan Risk Management, Identify Risks, Perform Qualitative Risk Analysis, Perform Quantitative Risk Analysis, Plan Risk Responses, Plan Procurement Management, Plan Stakeholder Engagement, Direct and Manage Project Work, Manage Project Knowledge, Manage Quality, Acquire Resources, Develop Team, Manage Team, Manage Communications, Conduct Procurements, Manage Stakeholder Engagement, Monitor and Control Project Work, Perform Integrated Change Control, Control Scope, Control Schedule, Control Costs, Control Quality, Control Resources, Monitor Communications, Control Procurements, Monitor Stakeholder Engagement, Close Project or Phase</t>
  </si>
  <si>
    <t>Stakeholder Management, Integration Management, Scope Management, Schedule Management, Cost Management, Quality Management, Resource Management, Communications Management, Risk Management, Procurement Management</t>
  </si>
  <si>
    <t>Identify Stakeholders, Develop Project Management Plan, Plan Scope Management, Collect Requirements, Define Scope, Plan Schedule Management, Plan Cost Management, Plan Quality Management, Plan Resource Management, Plan Communications Management, Plan Risk Management, Plan Procurement Management, Plan Stakeholder Engagement, Close Project or Phase</t>
  </si>
  <si>
    <t>Stakeholder Management, Scope Management, Cost Management, Procurement Management, Integration Management</t>
  </si>
  <si>
    <t>Identify Stakeholders, Collect Requirements, Determine Budget, Plan Procurement Management, Close Project or Phase</t>
  </si>
  <si>
    <t>Stakeholder Management, Scope Management, Schedule Management, Cost Management, Quality Management, Resource Management, Communications Management, Risk Management, Procurement Management, Integration Management</t>
  </si>
  <si>
    <t>Identify Stakeholders, Plan Scope Management, Collect Requirements, Define Scope, Create WBS, Plan Schedule Management, Define Activities, Sequence Activities, Estimate Activity Durations, Develop Schedule, Plan Cost Management, Estimate Costs, Determine Budget, Plan Quality Management, Plan Resource Management, Estimate Activity Resources, Plan Communications Management, Plan Risk Management, Identify Risks, Perform Qualitative Risk Analysis, Perform Quantitative Risk Analysis, Plan Risk Responses, Plan Procurement Management, Plan Stakeholder Engagement, Direct and Manage Project Work, Manage Project Knowledge, Manage Quality, Acquire Resources, Develop Team, Manage Team, Manage Communications, Implement Risk Responses, Conduct Procurements, Manage Stakeholder Engagement, Monitor and Control Project Work, Perform Integrated Change Control, Validate Scope, Control Scope, Control Schedule, Control Costs, Control Quality, Control Resources, Monitor Communications, Monitor Risks, Control Procurements, Monitor Stakeholder Engagement, Close Project or Phase</t>
  </si>
  <si>
    <t>Identify Stakeholders, Collect Requirements, Define Scope, Create WBS, Sequence Activities, Estimate Activity Durations, Develop Schedule, Estimate Costs, Determine Budget, Plan Quality Management, Plan Resource Management, Estimate Activity Resources, Plan Communications Management, Plan Risk Management, Identify Risks, Perform Qualitative Risk Analysis, Perform Quantitative Risk Analysis, Plan Risk Responses, Plan Procurement Management, Plan Stakeholder Engagement, Direct and Manage Project Work, Manage Project Knowledge, Manage Quality, Acquire Resources, Develop Team, Manage Team, Manage Communications, Implement Risk Responses, Conduct Procurements, Manage Stakeholder Engagement, Monitor and Control Project Work, Perform Integrated Change Control, Validate Scope, Control Scope, Control Schedule, Control Costs, Control Quality, Control Resources, Monitor Communications, Monitor Risks, Control Procurements, Monitor Stakeholder Engagement, Close Project or Phase</t>
  </si>
  <si>
    <t>Risk Management, Procurement Management, Integration Management</t>
  </si>
  <si>
    <t>Identify Risks, Conduct Procurements, Control Procurements, Close Project or Phase</t>
  </si>
  <si>
    <t>Integration Management, Quality Management, Procurement Management</t>
  </si>
  <si>
    <t>Direct and Manage Project Work, Control Quality, Control Procurements</t>
  </si>
  <si>
    <t>Integration Management, Quality Management</t>
  </si>
  <si>
    <t>Manage Project Knowledge, Control Quality</t>
  </si>
  <si>
    <t>Resource Management, Communications Management, Stakeholder Management, Integration Management, Risk Management, Procurement Management</t>
  </si>
  <si>
    <t>Manage Team, Manage Communications, Manage Stakeholder Engagement, Perform Integrated Change Control, Monitor Risks, Control Procurements</t>
  </si>
  <si>
    <t>Risk Management, Integration Management</t>
  </si>
  <si>
    <t>Implement Risk Responses, Perform Integrated Change Control</t>
  </si>
  <si>
    <t>Scope Management, Schedule Management, Cost Management, Quality Management, Resource Management, Communications Management, Risk Management, Stakeholder Management</t>
  </si>
  <si>
    <t>Validate Scope, Control Scope, Control Schedule, Control Costs, Control Quality, Control Resources, Monitor Communications, Monitor Risks, Monitor Stakeholder Engagement</t>
  </si>
  <si>
    <t>Develop Project Charter, Identify Stakeholders, Develop Project Management Plan, Plan Scope Management, Collect Requirements, Define Scope, Create WBS, Plan Schedule Management, Define Activities, Estimate Activity Durations, Plan Cost Management, Estimate Costs, Determine Budget, Plan Quality Management, Plan Resource Management, Estimate Activity Resources, Plan Communications Management, Plan Risk Management, Identify Risks, Perform Qualitative Risk Analysis, Perform Quantitative Risk Analysis, Plan Risk Responses, Plan Procurement Management, Plan Stakeholder Engagement, Direct and Manage Project Work, Manage Project Knowledge, Implement Risk Responses, Conduct Procurements, Manage Stakeholder Engagement, Monitor and Control Project Work, Perform Integrated Change Control, Control Costs, Monitor Communications, Control Procurements, Monitor Stakeholder Engagement, Close Project or Phase</t>
  </si>
  <si>
    <t>Integration Management, Stakeholder Management, Scope Management, Quality Management, Risk Management, Procurement Management</t>
  </si>
  <si>
    <t>Develop Project Charter, Identify Stakeholders, Develop Project Management Plan, Collect Requirements, Plan Quality Management, Identify Risks, Perform Qualitative Risk Analysis, Perform Quantitative Risk Analysis, Plan Risk Responses, Plan Procurement Management, Plan Stakeholder Engagement, Manage Quality, Control Quality</t>
  </si>
  <si>
    <t>Integration Management, Stakeholder Management, Scope Management, Communications Management, Risk Management, Resource Management, Procurement Management</t>
  </si>
  <si>
    <t>Develop Project Charter, Identify Stakeholders, Develop Project Management Plan, Collect Requirements, Define Scope, Plan Communications Management, Identify Risks, Perform Qualitative Risk Analysis, Perform Quantitative Risk Analysis, Plan Risk Responses, Manage Project Knowledge, Acquire Resources, Develop Team, Manage Team, Manage Communications, Implement Risk Responses, Conduct Procurements, Manage Stakeholder Engagement, Control Resources, Monitor Communications, Monitor Stakeholder Engagement</t>
  </si>
  <si>
    <t>Develop Project Charter, Identify Stakeholders, Develop Project Management Plan, Plan Scope Management, Plan Schedule Management, Define Activities, Estimate Activity Durations, Plan Cost Management, Plan Quality Management, Plan Resource Management, Estimate Activity Resources, Plan Communications Management, Plan Risk Management, Identify Risks, Perform Qualitative Risk Analysis, Plan Procurement Management, Plan Stakeholder Engagement, Direct and Manage Project Work, Develop Team, Manage Communications, Manage Stakeholder Engagement, Monitor and Control Project Work, Perform Integrated Change Control, Control Quality, Monitor Communications, Monitor Risks, Monitor Stakeholder Engagement, Close Project or Phase</t>
  </si>
  <si>
    <t>Stakeholder Management, Scope Management, Schedule Management, Cost Management, Quality Management, Resource Management, Risk Management, Procurement Management, Integration Management</t>
  </si>
  <si>
    <t>Identify Stakeholders, Plan Scope Management, Collect Requirements, Define Scope, Plan Schedule Management, Estimate Activity Durations, Develop Schedule, Plan Cost Management, Estimate Costs, Determine Budget, Plan Quality Management, Estimate Activity Resources, Plan Risk Management, Identify Risks, Perform Qualitative Risk Analysis, Perform Quantitative Risk Analysis, Plan Risk Responses, Plan Procurement Management, Plan Stakeholder Engagement, Manage Quality, Conduct Procurements, Monitor and Control Project Work, Perform Integrated Change Control, Control Scope, Control Schedule, Control Costs, Control Quality, Control Resources, Monitor Risks, Control Procurements, Monitor Stakeholder Engagement, Close Project or Phase</t>
  </si>
  <si>
    <t>Stakeholder Management, Scope Management, Quality Management, Resource Management, Communications Management, Risk Management</t>
  </si>
  <si>
    <t>Identify Stakeholders, Collect Requirements, Plan Quality Management, Plan Resource Management, Plan Communications Management, Perform Qualitative Risk Analysis, Plan Stakeholder Engagement, Manage Quality, Control Quality, Monitor Communications, Monitor Stakeholder Engagement</t>
  </si>
  <si>
    <t>Scope Management, Schedule Management, Cost Management, Quality Management, Risk Management, Stakeholder Management, Resource Management, Integration Management</t>
  </si>
  <si>
    <t>Collect Requirements, Define Scope, Estimate Activity Durations, Estimate Costs, Plan Quality Management, Plan Risk Responses, Plan Stakeholder Engagement, Manage Quality, Acquire Resources, Monitor and Control Project Work, Perform Integrated Change Control, Validate Scope, Monitor Stakeholder Engagement</t>
  </si>
  <si>
    <t>Scope Management, Schedule Management</t>
  </si>
  <si>
    <t>Create WBS, Define Activities</t>
  </si>
  <si>
    <t>Sequence Activities, Develop Schedule, Control Schedule</t>
  </si>
  <si>
    <t>Schedule Management, Cost Management, Resource Management, Integration Management, Communications Management, Risk Management, Stakeholder Management</t>
  </si>
  <si>
    <t>Sequence Activities, Develop Schedule, Estimate Costs, Estimate Activity Resources, Direct and Manage Project Work, Manage Team, Manage Communications, Implement Risk Responses, Control Schedule, Control Costs, Control Resources, Monitor Communications, Monitor Stakeholder Engagement</t>
  </si>
  <si>
    <t>Schedule Management, Cost Management, Resource Management</t>
  </si>
  <si>
    <t>Estimate Activity Durations, Estimate Costs, Estimate Activity Resources</t>
  </si>
  <si>
    <t>Schedule Management, Cost Management</t>
  </si>
  <si>
    <t>Estimate Activity Durations, Estimate Costs</t>
  </si>
  <si>
    <t>Develop Schedule, Control Schedule</t>
  </si>
  <si>
    <t>Communications Management, Resource Management</t>
  </si>
  <si>
    <t>Plan Communications Management, Develop Team, Manage Communications</t>
  </si>
  <si>
    <t>Plan Communications Management, Manage Communications</t>
  </si>
  <si>
    <t>Quality Management, Risk Management, Procurement Management</t>
  </si>
  <si>
    <t>Manage Quality, Monitor Risks, Control Procurements</t>
  </si>
  <si>
    <t>Quality Management, Resource Management</t>
  </si>
  <si>
    <t>Manage Quality, Control Resources</t>
  </si>
  <si>
    <t>Acquire Resources, Develop Team</t>
  </si>
  <si>
    <t>Communications Management, Stakeholder Management</t>
  </si>
  <si>
    <t>Manage Communications, Manage Stakeholder Engagement</t>
  </si>
  <si>
    <t>Scope Management, Quality Management, Procurement Management</t>
  </si>
  <si>
    <t>Validate Scope, Control Quality, Control Procurements</t>
  </si>
  <si>
    <t>Stakeholder Management, Schedule Management, Risk Management, Procurement Management, Integration Management, Quality Management, Resource Management, Scope Management, Cost Management, Communications Management</t>
  </si>
  <si>
    <t>Identify Stakeholders, Define Activities, Develop Schedule, Plan Risk Responses, Plan Procurement Management, Direct and Manage Project Work, Manage Quality, Acquire Resources, Develop Team, Manage Team, Implement Risk Responses, Conduct Procurements, Manage Stakeholder Engagement, Monitor and Control Project Work, Validate Scope, Control Scope, Control Schedule, Control Costs, Control Quality, Control Resources, Monitor Communications, Monitor Risks, Control Procurements, Monitor Stakeholder Engagement</t>
  </si>
  <si>
    <t>Stakeholder Management, Schedule Management, Quality Management, Communications Management, Risk Management, Integration Management, Resource Management, Procurement Management, Scope Management, Cost Management</t>
  </si>
  <si>
    <t>Identify Stakeholders, Define Activities, Develop Schedule, Plan Quality Management, Plan Communications Management, Plan Risk Responses, Direct and Manage Project Work, Manage Project Knowledge, Manage Quality, Acquire Resources, Develop Team, Manage Team, Manage Communications, Conduct Procurements, Manage Stakeholder Engagement, Monitor and Control Project Work, Perform Integrated Change Control, Control Scope, Control Schedule, Control Costs, Control Quality, Control Resources, Monitor Communications, Monitor Risks, Control Procurements, Monitor Stakeholder Engagement</t>
  </si>
  <si>
    <t>Identify Stakeholders, Define Scope, Create WBS, Sequence Activities, Estimate Activity Durations, Develop Schedule, Estimate Costs, Determine Budget, Plan Quality Management, Plan Resource Management, Estimate Activity Resources, Plan Communications Management, Identify Risks, Perform Qualitative Risk Analysis, Perform Quantitative Risk Analysis, Plan Risk Responses, Plan Procurement Management, Direct and Manage Project Work, Manage Quality, Acquire Resources, Develop Team, Manage Team, Manage Communications, Implement Risk Responses, Conduct Procurements, Manage Stakeholder Engagement, Monitor and Control Project Work, Perform Integrated Change Control, Validate Scope, Control Scope, Control Schedule, Control Costs, Control Quality, Control Resources, Monitor Communications, Monitor Risks, Control Procurements, Monitor Stakeholder Engagement, Close Project or Phase</t>
  </si>
  <si>
    <t>Procurement Management, Integration Management, Resource Management, Communications Management, Stakeholder Management</t>
  </si>
  <si>
    <t>Plan Procurement Management, Direct and Manage Project Work, Manage Project Knowledge, Acquire Resources, Develop Team, Manage Communications, Conduct Procurements, Manage Stakeholder Engagement, Control Procurements, Close Project or Phase</t>
  </si>
  <si>
    <t>Acquire Resources, Develop Team, Manage Team</t>
  </si>
  <si>
    <t>Scope Management, Schedule Management, Cost Management, Quality Management, Resource Management, Communications Management, Risk Management, Procurement Management, Stakeholder Management</t>
  </si>
  <si>
    <t>Validate Scope, Control Scope, Control Schedule, Control Costs, Control Quality, Control Resources, Monitor Communications, Monitor Risks, Control Procurements, Monitor Stakeholder Engagement</t>
  </si>
  <si>
    <t>Process Name</t>
  </si>
  <si>
    <t>Input Count</t>
  </si>
  <si>
    <t>Tool Count</t>
  </si>
  <si>
    <t>Output Count</t>
  </si>
  <si>
    <t>Input ID</t>
  </si>
  <si>
    <t>Input Name</t>
  </si>
  <si>
    <t>Used In Processes</t>
  </si>
  <si>
    <t>Tool ID</t>
  </si>
  <si>
    <t>Tool/Technique Name</t>
  </si>
  <si>
    <t>Output ID</t>
  </si>
  <si>
    <t>Output Name</t>
  </si>
  <si>
    <t>Produced By Processes</t>
  </si>
  <si>
    <t>Knowledge
Areas</t>
  </si>
  <si>
    <t>Project Management Process Groups</t>
  </si>
  <si>
    <t>Project
Integration
Management</t>
  </si>
  <si>
    <t>Project
Scope
Management</t>
  </si>
  <si>
    <t>Project
IScheduke
Management</t>
  </si>
  <si>
    <t>Project
Cost
Management</t>
  </si>
  <si>
    <t>Project
Quality
Management</t>
  </si>
  <si>
    <t>Project
IResource
Management</t>
  </si>
  <si>
    <t>Project
Communications
Management</t>
  </si>
  <si>
    <t>Project
Risk
Management</t>
  </si>
  <si>
    <t>Project
Procurement
Management</t>
  </si>
  <si>
    <t>Project
Stakeholder
Management</t>
  </si>
  <si>
    <t>Monitoring &amp;
Controlling</t>
  </si>
  <si>
    <t>Plan Scope Management
Collect Requirements
Define Scope
Create WBS</t>
  </si>
  <si>
    <r>
      <t xml:space="preserve">Affinity Diagram
 - A diagram that shows large numbers of ideas, data or information classified into groups for review and analysis.
 - Organize ideas and group related cocepts
 - Identify patterns and connections between ideas
 - Risk categorization
 - Root cause analysis
 - Stakeholder mapping
 - Process improvement
 - Identify gaps, collaboration
Network Diagram
 - Showd activity dependencies and logical sequence
 - Shows critical path
Fishbone/Ishikawa Diagram
 - Root cause analysis for problems or risks
 - Quality management, problem solving and risl identification
Pareto Chart (80/20 Rule)
 - Most significant porblems or causes
 - Quality control, resource focus
</t>
    </r>
    <r>
      <rPr>
        <b/>
        <sz val="12"/>
        <color theme="1"/>
        <rFont val="Calibri"/>
        <family val="2"/>
        <scheme val="minor"/>
      </rPr>
      <t xml:space="preserve">🎯 Diagram Selection by Purpose:
For Planning:
</t>
    </r>
    <r>
      <rPr>
        <sz val="12"/>
        <color theme="1"/>
        <rFont val="Calibri"/>
        <family val="2"/>
        <scheme val="minor"/>
      </rPr>
      <t xml:space="preserve">
</t>
    </r>
    <r>
      <rPr>
        <b/>
        <sz val="12"/>
        <color theme="1"/>
        <rFont val="Calibri"/>
        <family val="2"/>
        <scheme val="minor"/>
      </rPr>
      <t>WBS - Scope definition</t>
    </r>
    <r>
      <rPr>
        <sz val="12"/>
        <color theme="1"/>
        <rFont val="Calibri"/>
        <family val="2"/>
        <scheme val="minor"/>
      </rPr>
      <t xml:space="preserve">
Network Diagram - Schedule planning
Gantt Chart - Timeline visualization
</t>
    </r>
    <r>
      <rPr>
        <b/>
        <sz val="12"/>
        <color theme="1"/>
        <rFont val="Calibri"/>
        <family val="2"/>
        <scheme val="minor"/>
      </rPr>
      <t>For Risk Management:</t>
    </r>
    <r>
      <rPr>
        <sz val="12"/>
        <color theme="1"/>
        <rFont val="Calibri"/>
        <family val="2"/>
        <scheme val="minor"/>
      </rPr>
      <t xml:space="preserve">
Fishbone - Root cause analysis
Risk Matrix - Risk prioritization
Tornado - Sensitivity analysis
</t>
    </r>
    <r>
      <rPr>
        <b/>
        <sz val="12"/>
        <color theme="1"/>
        <rFont val="Calibri"/>
        <family val="2"/>
        <scheme val="minor"/>
      </rPr>
      <t xml:space="preserve">
For Stakeholder Management:
</t>
    </r>
    <r>
      <rPr>
        <sz val="12"/>
        <color theme="1"/>
        <rFont val="Calibri"/>
        <family val="2"/>
        <scheme val="minor"/>
      </rPr>
      <t xml:space="preserve">
Power/Interest Grid - Engagement strategy
RACI Matrix - Role clarity
</t>
    </r>
    <r>
      <rPr>
        <b/>
        <sz val="12"/>
        <color theme="1"/>
        <rFont val="Calibri"/>
        <family val="2"/>
        <scheme val="minor"/>
      </rPr>
      <t xml:space="preserve">
For Quality Management:
</t>
    </r>
    <r>
      <rPr>
        <sz val="12"/>
        <color theme="1"/>
        <rFont val="Calibri"/>
        <family val="2"/>
        <scheme val="minor"/>
      </rPr>
      <t xml:space="preserve">
Pareto Chart - Problem prioritization
Control Chart - Performance monitoring
Process Flow - Workflow mapping
</t>
    </r>
    <r>
      <rPr>
        <b/>
        <sz val="12"/>
        <color theme="1"/>
        <rFont val="Calibri"/>
        <family val="2"/>
        <scheme val="minor"/>
      </rPr>
      <t>For Team Management:</t>
    </r>
    <r>
      <rPr>
        <sz val="12"/>
        <color theme="1"/>
        <rFont val="Calibri"/>
        <family val="2"/>
        <scheme val="minor"/>
      </rPr>
      <t xml:space="preserve">
RACI Matrix - Responsibility assignment
Burndown Chart - Progress tracking</t>
    </r>
  </si>
  <si>
    <t>Questions</t>
  </si>
  <si>
    <t>Answers</t>
  </si>
  <si>
    <t>c</t>
  </si>
  <si>
    <t>a</t>
  </si>
  <si>
    <t>b</t>
  </si>
  <si>
    <t>d</t>
  </si>
  <si>
    <t>Changiong of team members should not be allowed during during an iteration as it willl change velocity</t>
  </si>
  <si>
    <t>On an agile project, the goal is to have as much stakehollder engagement as possiblle, which willl lead to more satisfied stakeholders.</t>
  </si>
  <si>
    <t>Portfolio management</t>
  </si>
  <si>
    <t>Weak matrix</t>
  </si>
  <si>
    <t xml:space="preserve">The project charter is a document that officially authorizes the project to get started. Here are a few things thje project charter includes 
Project justification
Name of project manager
Assignment of authority to the pm
Signature of the sponsor or others authorizing the project
</t>
  </si>
  <si>
    <t>Log of all the assumptions and constraints that are identified throughout
the project. List of things expected to be true and things that may constrain
the project. Continuously updated.</t>
  </si>
  <si>
    <t>Output,Definition</t>
  </si>
  <si>
    <t>Document identifying all project stakeholders, their interests, involvement levels, and influence on the project</t>
  </si>
  <si>
    <t>Formal proposals to modify any project document, deliverable, or baseline</t>
  </si>
  <si>
    <t>Revisions to any component of the project management plan</t>
  </si>
  <si>
    <t>Revisions to any project documents outside the project management plan</t>
  </si>
  <si>
    <t>Comprehensive document that defines how the project is executed, monitored, controlled, and closed</t>
  </si>
  <si>
    <t>Component of the project management plan that describes how the project scope will be defined, developed, monitored, controlled, and validated</t>
  </si>
  <si>
    <t>Component of the project management plan that describes how requirements will be analyzed</t>
  </si>
  <si>
    <t>Description of how individual requirements meet the business need for the project</t>
  </si>
  <si>
    <t>Grid that links product requirements from their origin to the deliverables that satisfy them</t>
  </si>
  <si>
    <t>Description of the project scope, major deliverables, assumptions, and constraints</t>
  </si>
  <si>
    <t>Approved version of the scope statement, work breakdown structure (WBS), and WBS dictionary</t>
  </si>
  <si>
    <t>Component of the project management plan that establishes the criteria and activities for developing, monitoring, and controlling the schedule</t>
  </si>
  <si>
    <t>Comprehensive list including all schedule activities required on the project</t>
  </si>
  <si>
    <t>Multiple attributes associated with each schedule activity that can be included within the activity list</t>
  </si>
  <si>
    <t>List identifying all project milestones and indicates whether the milestone is mandatory or optional</t>
  </si>
  <si>
    <t>Graphical representation of the logical relationships among the project schedule activities</t>
  </si>
  <si>
    <t>Quantitative assessments of the likely number of work periods required to complete an activity</t>
  </si>
  <si>
    <t>Supporting documentation outlining the details used in establishing project estimates</t>
  </si>
  <si>
    <t>Approved version of a schedule model that can be changed using formal change control procedures</t>
  </si>
  <si>
    <t>Output of a schedule model that presents linked activities with planned dates, durations, milestones, and resources</t>
  </si>
  <si>
    <t>Collection of information for describing and controlling the schedule</t>
  </si>
  <si>
    <t>Calendar that identifies working days and shifts available for scheduled activities</t>
  </si>
  <si>
    <t>Component of the project management plan that describes how project costs will be planned, structured, and controlled</t>
  </si>
  <si>
    <t>Quantitative assessment of the likely costs for resources required to complete the activity</t>
  </si>
  <si>
    <t>Approved version of the time-phased project budget, excluding management reserves</t>
  </si>
  <si>
    <t>Forecast project costs to be funded for each time period</t>
  </si>
  <si>
    <t>Component of the project management plan that describes how an organization's quality policies will be implemented</t>
  </si>
  <si>
    <t>Description of a project or product attribute and how to measure it</t>
  </si>
  <si>
    <t>Component of the project management plan that describes how project resources are acquired, allocated, monitored, and controlled</t>
  </si>
  <si>
    <t>Document that establishes the team values, agreements, and operating guidelines for the team</t>
  </si>
  <si>
    <t>Types and quantities of resources required for each activity in a work package</t>
  </si>
  <si>
    <t>Hierarchical representation of resources by category and type</t>
  </si>
  <si>
    <t>Component of the project management plan that describes how project communications will be planned, structured, and monitored</t>
  </si>
  <si>
    <t>Component of the project management plan that describes how risk management activities will be structured and performed</t>
  </si>
  <si>
    <t>Document in which the results of risk analysis and risk response planning are recorded</t>
  </si>
  <si>
    <t>Project document developed progressively throughout the risk management process that summarizes individual risks and overall risk</t>
  </si>
  <si>
    <t>Component of the project management plan that describes how a team will acquire goods and services from outside the performing organization</t>
  </si>
  <si>
    <t>Approach to determine the project delivery method and the type of legally binding agreement(s)</t>
  </si>
  <si>
    <t>Documents used to solicit information, quotations, or proposals from prospective sellers</t>
  </si>
  <si>
    <t>Description of the procurement item in sufficient detail to allow prospective sellers to determine if they can provide the products</t>
  </si>
  <si>
    <t>Set of attributes desired by the buyer which a seller is required to meet or exceed to be selected for a contract</t>
  </si>
  <si>
    <t>Decisions made regarding the external purchase or internal manufacture of the product</t>
  </si>
  <si>
    <t>Cost estimate prepared by an outside professional estimator to serve as a benchmark</t>
  </si>
  <si>
    <t>Updates to any or all organizational process assets involved in the project</t>
  </si>
  <si>
    <t>Component of the project management plan that identifies the strategies to effectively engage stakeholders</t>
  </si>
  <si>
    <t>Any unique and verifiable product</t>
  </si>
  <si>
    <t>Raw observations and measurements identified during activities being performed to carry out the project work</t>
  </si>
  <si>
    <t>Project document used to record and monitor information on active issues</t>
  </si>
  <si>
    <t>Project document used to record knowledge gained during a project</t>
  </si>
  <si>
    <t>Project documents that include quality management issues, recommendations for corrective actions, and summary of findings</t>
  </si>
  <si>
    <t>Project documents that describe the activities used to determine if the product meets the quality requirements</t>
  </si>
  <si>
    <t>Documentation of which physical resources are assigned to which activities</t>
  </si>
  <si>
    <t>Documentation of team member assignments to the project</t>
  </si>
  <si>
    <t>Calendar that identifies the working days and shifts upon which each specific resource is available</t>
  </si>
  <si>
    <t>Updates to any or all enterprise environmental factors that influence the project</t>
  </si>
  <si>
    <t>Evaluation of a project team's effectiveness</t>
  </si>
  <si>
    <t>Information that is created and distributed to project stakeholders</t>
  </si>
  <si>
    <t>Sellers that have been selected to provide a contracted service or product</t>
  </si>
  <si>
    <t>Document or communication that defines the initial intentions for a project</t>
  </si>
  <si>
    <t>Physical or electronic representation of work performance information compiled in project documents</t>
  </si>
  <si>
    <t>Change requests processed through the integrated change control process and approved</t>
  </si>
  <si>
    <t>Products</t>
  </si>
  <si>
    <t>Performance data collected from various controlling processes</t>
  </si>
  <si>
    <t>Estimates or predictions of conditions and events in the project's future based on information and knowledge available at the time</t>
  </si>
  <si>
    <t>Calculated EAC (Estimate at Completion) value or a bottom-up EAC value</t>
  </si>
  <si>
    <t>Results of quality control activities that are fed back to the quality assurance process</t>
  </si>
  <si>
    <t>Completed project deliverables that have been checked and confirmed for correctness through the Control Quality process</t>
  </si>
  <si>
    <t>Completed and settled contract where all agreements are finalized and closed</t>
  </si>
  <si>
    <t>Updates to procurement documents as a result of the procurement process</t>
  </si>
  <si>
    <t>Transfer of the final product</t>
  </si>
  <si>
    <t>Document that provides a summary of the project performance</t>
  </si>
  <si>
    <t>Score</t>
  </si>
  <si>
    <t>.</t>
  </si>
  <si>
    <r>
      <rPr>
        <b/>
        <sz val="14"/>
        <color theme="1"/>
        <rFont val="Calibri"/>
        <family val="2"/>
        <scheme val="minor"/>
      </rPr>
      <t>Schedule Baseline -</t>
    </r>
    <r>
      <rPr>
        <sz val="12"/>
        <color theme="1"/>
        <rFont val="Calibri"/>
        <family val="2"/>
        <scheme val="minor"/>
      </rPr>
      <t xml:space="preserve">
Definition: The approved version of the project schedule, which includes the planned start and finish dates for activities, milestones, and deliverables.
</t>
    </r>
    <r>
      <rPr>
        <b/>
        <sz val="12"/>
        <color theme="1"/>
        <rFont val="Calibri"/>
        <family val="2"/>
        <scheme val="minor"/>
      </rPr>
      <t>Purpose:</t>
    </r>
    <r>
      <rPr>
        <sz val="12"/>
        <color theme="1"/>
        <rFont val="Calibri"/>
        <family val="2"/>
        <scheme val="minor"/>
      </rPr>
      <t xml:space="preserve"> It serves as the benchmark against which actual project progress and performance are measured and controlled.
Change control: Once approved, it can only be changed through formal change control procedures (e.g., via the change control board).
Role in project management: It allows you to track schedule variance, forecast completion dates, and manage stakeholder expectations</t>
    </r>
  </si>
  <si>
    <t>A</t>
  </si>
  <si>
    <t>C</t>
  </si>
  <si>
    <t>D</t>
  </si>
  <si>
    <t>B</t>
  </si>
  <si>
    <t>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</si>
</sst>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strike/>
      <sz val="12"/>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indexed="64"/>
      </right>
      <top style="thin">
        <color indexed="64"/>
      </top>
      <bottom/>
      <diagonal/>
    </border>
  </borders>
  <cellStyleXfs count="2">
    <xf numFmtId="0" fontId="0" fillId="0" borderId="0"/>
    <xf numFmtId="9" fontId="4" fillId="0" borderId="0" applyFont="0" applyFill="0" applyBorder="0" applyAlignment="0" applyProtection="0"/>
  </cellStyleXfs>
  <cellXfs count="67">
    <xf numFmtId="0" fontId="0" fillId="0" borderId="0" xfId="0"/>
    <xf numFmtId="0" fontId="2" fillId="0" borderId="0" xfId="0" applyFont="1"/>
    <xf numFmtId="0" fontId="2" fillId="0" borderId="0" xfId="0" applyFont="1" applyAlignment="1">
      <alignment horizontal="center" vertical="center"/>
    </xf>
    <xf numFmtId="0" fontId="0" fillId="0" borderId="0" xfId="0" applyAlignment="1">
      <alignment horizontal="center" vertical="center"/>
    </xf>
    <xf numFmtId="9" fontId="0" fillId="0" borderId="0" xfId="0" applyNumberFormat="1"/>
    <xf numFmtId="0" fontId="0" fillId="0" borderId="0" xfId="0" applyAlignment="1">
      <alignment vertical="top" wrapText="1"/>
    </xf>
    <xf numFmtId="0" fontId="0" fillId="0" borderId="0" xfId="0" applyAlignment="1">
      <alignment vertical="top"/>
    </xf>
    <xf numFmtId="0" fontId="5" fillId="0" borderId="0" xfId="0" applyFont="1"/>
    <xf numFmtId="9" fontId="0" fillId="0" borderId="0" xfId="1" applyFont="1"/>
    <xf numFmtId="0" fontId="0" fillId="2" borderId="0" xfId="0" applyFill="1"/>
    <xf numFmtId="0" fontId="0" fillId="0" borderId="0" xfId="0" applyAlignment="1">
      <alignment wrapText="1"/>
    </xf>
    <xf numFmtId="0" fontId="6" fillId="0" borderId="0" xfId="0" applyFont="1"/>
    <xf numFmtId="0" fontId="6" fillId="3" borderId="0" xfId="0" applyFont="1" applyFill="1"/>
    <xf numFmtId="0" fontId="1" fillId="0" borderId="12" xfId="0" applyFont="1" applyBorder="1" applyAlignment="1">
      <alignment horizontal="center" vertical="top" wrapText="1"/>
    </xf>
    <xf numFmtId="0" fontId="1" fillId="0" borderId="7" xfId="0" applyFont="1" applyBorder="1" applyAlignment="1">
      <alignment horizontal="center" vertical="top"/>
    </xf>
    <xf numFmtId="0" fontId="1" fillId="0" borderId="12" xfId="0" applyFont="1" applyBorder="1" applyAlignment="1">
      <alignment horizontal="center" vertical="top"/>
    </xf>
    <xf numFmtId="0" fontId="1" fillId="0" borderId="13" xfId="0" applyFont="1" applyBorder="1" applyAlignment="1">
      <alignment horizontal="center" vertical="top"/>
    </xf>
    <xf numFmtId="0" fontId="1" fillId="0" borderId="14" xfId="0" applyFont="1" applyBorder="1" applyAlignment="1">
      <alignment horizontal="center" vertical="top"/>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top" wrapText="1"/>
    </xf>
    <xf numFmtId="0" fontId="1" fillId="0" borderId="11" xfId="0" applyFont="1" applyBorder="1" applyAlignment="1">
      <alignment horizontal="center" vertical="top"/>
    </xf>
    <xf numFmtId="0" fontId="1" fillId="0" borderId="12" xfId="0" applyFont="1" applyBorder="1" applyAlignment="1">
      <alignment horizontal="center" vertical="center" wrapText="1"/>
    </xf>
    <xf numFmtId="0" fontId="1" fillId="0" borderId="7" xfId="0" applyFont="1" applyBorder="1" applyAlignment="1">
      <alignment horizontal="center" vertical="center"/>
    </xf>
    <xf numFmtId="0" fontId="1" fillId="0" borderId="12" xfId="0" applyFont="1"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 xfId="0" applyBorder="1" applyAlignment="1">
      <alignment horizontal="center" vertical="center" wrapText="1"/>
    </xf>
    <xf numFmtId="0" fontId="0" fillId="0" borderId="9" xfId="0" applyBorder="1" applyAlignment="1">
      <alignment horizontal="center" vertical="center" wrapText="1"/>
    </xf>
    <xf numFmtId="0" fontId="0" fillId="0" borderId="25" xfId="0" applyBorder="1" applyAlignment="1">
      <alignment horizontal="center" vertical="center" wrapText="1"/>
    </xf>
    <xf numFmtId="0" fontId="0" fillId="0" borderId="7" xfId="0" applyBorder="1" applyAlignment="1">
      <alignment horizontal="center" vertical="center" wrapText="1"/>
    </xf>
    <xf numFmtId="0" fontId="0" fillId="0" borderId="7" xfId="0" applyBorder="1" applyAlignment="1">
      <alignment horizontal="center" vertical="center"/>
    </xf>
    <xf numFmtId="0" fontId="0" fillId="0" borderId="23" xfId="0" applyBorder="1" applyAlignment="1">
      <alignment horizontal="left" vertical="center" wrapText="1"/>
    </xf>
    <xf numFmtId="0" fontId="0" fillId="0" borderId="26"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0" fillId="0" borderId="24" xfId="0"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4" xfId="0" applyBorder="1" applyAlignment="1">
      <alignment horizontal="center" vertical="center"/>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3" xfId="0" applyBorder="1" applyAlignment="1">
      <alignment horizontal="center" vertical="center" wrapText="1"/>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0" fillId="0" borderId="0" xfId="0">
      <extLst>
        <ext xmlns:xfpb="http://schemas.microsoft.com/office/spreadsheetml/2022/featurepropertybag" uri="{C7286773-470A-42A8-94C5-96B5CB345126}">
          <xfpb:xfComplement i="0"/>
        </ext>
      </extLst>
    </xf>
    <xf numFmtId="0" fontId="7" fillId="0" borderId="0" xfId="0" applyFont="1"/>
  </cellXfs>
  <cellStyles count="2">
    <cellStyle name="Normal" xfId="0" builtinId="0"/>
    <cellStyle name="Percent" xfId="1"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7</xdr:col>
      <xdr:colOff>47625</xdr:colOff>
      <xdr:row>0</xdr:row>
      <xdr:rowOff>0</xdr:rowOff>
    </xdr:from>
    <xdr:to>
      <xdr:col>11</xdr:col>
      <xdr:colOff>104775</xdr:colOff>
      <xdr:row>701</xdr:row>
      <xdr:rowOff>142875</xdr:rowOff>
    </xdr:to>
    <mc:AlternateContent xmlns:mc="http://schemas.openxmlformats.org/markup-compatibility/2006" xmlns:sle15="http://schemas.microsoft.com/office/drawing/2012/slicer">
      <mc:Choice Requires="sle15">
        <xdr:graphicFrame macro="">
          <xdr:nvGraphicFramePr>
            <xdr:cNvPr id="2" name="Process">
              <a:extLst>
                <a:ext uri="{FF2B5EF4-FFF2-40B4-BE49-F238E27FC236}">
                  <a16:creationId xmlns:a16="http://schemas.microsoft.com/office/drawing/2014/main" id="{EF1395DE-3A60-DBDB-2CCC-E5C3B7AB663F}"/>
                </a:ext>
              </a:extLst>
            </xdr:cNvPr>
            <xdr:cNvGraphicFramePr/>
          </xdr:nvGraphicFramePr>
          <xdr:xfrm>
            <a:off x="0" y="0"/>
            <a:ext cx="0" cy="0"/>
          </xdr:xfrm>
          <a:graphic>
            <a:graphicData uri="http://schemas.microsoft.com/office/drawing/2010/slicer">
              <sle:slicer xmlns:sle="http://schemas.microsoft.com/office/drawing/2010/slicer" name="Process"/>
            </a:graphicData>
          </a:graphic>
        </xdr:graphicFrame>
      </mc:Choice>
      <mc:Fallback xmlns="">
        <xdr:sp macro="" textlink="">
          <xdr:nvSpPr>
            <xdr:cNvPr id="0" name=""/>
            <xdr:cNvSpPr>
              <a:spLocks noTextEdit="1"/>
            </xdr:cNvSpPr>
          </xdr:nvSpPr>
          <xdr:spPr>
            <a:xfrm>
              <a:off x="12477750" y="0"/>
              <a:ext cx="2749550" cy="76581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133350</xdr:colOff>
      <xdr:row>0</xdr:row>
      <xdr:rowOff>19051</xdr:rowOff>
    </xdr:from>
    <xdr:to>
      <xdr:col>14</xdr:col>
      <xdr:colOff>0</xdr:colOff>
      <xdr:row>575</xdr:row>
      <xdr:rowOff>114301</xdr:rowOff>
    </xdr:to>
    <mc:AlternateContent xmlns:mc="http://schemas.openxmlformats.org/markup-compatibility/2006" xmlns:sle15="http://schemas.microsoft.com/office/drawing/2012/slicer">
      <mc:Choice Requires="sle15">
        <xdr:graphicFrame macro="">
          <xdr:nvGraphicFramePr>
            <xdr:cNvPr id="3" name="ITTO Type">
              <a:extLst>
                <a:ext uri="{FF2B5EF4-FFF2-40B4-BE49-F238E27FC236}">
                  <a16:creationId xmlns:a16="http://schemas.microsoft.com/office/drawing/2014/main" id="{6B7CD4ED-3A69-339C-8F80-72043193E9EE}"/>
                </a:ext>
              </a:extLst>
            </xdr:cNvPr>
            <xdr:cNvGraphicFramePr/>
          </xdr:nvGraphicFramePr>
          <xdr:xfrm>
            <a:off x="0" y="0"/>
            <a:ext cx="0" cy="0"/>
          </xdr:xfrm>
          <a:graphic>
            <a:graphicData uri="http://schemas.microsoft.com/office/drawing/2010/slicer">
              <sle:slicer xmlns:sle="http://schemas.microsoft.com/office/drawing/2010/slicer" name="ITTO Type"/>
            </a:graphicData>
          </a:graphic>
        </xdr:graphicFrame>
      </mc:Choice>
      <mc:Fallback xmlns="">
        <xdr:sp macro="" textlink="">
          <xdr:nvSpPr>
            <xdr:cNvPr id="0" name=""/>
            <xdr:cNvSpPr>
              <a:spLocks noTextEdit="1"/>
            </xdr:cNvSpPr>
          </xdr:nvSpPr>
          <xdr:spPr>
            <a:xfrm>
              <a:off x="15259050" y="19051"/>
              <a:ext cx="1879600" cy="13144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152400</xdr:colOff>
      <xdr:row>575</xdr:row>
      <xdr:rowOff>161925</xdr:rowOff>
    </xdr:from>
    <xdr:to>
      <xdr:col>15</xdr:col>
      <xdr:colOff>95250</xdr:colOff>
      <xdr:row>701</xdr:row>
      <xdr:rowOff>9525</xdr:rowOff>
    </xdr:to>
    <mc:AlternateContent xmlns:mc="http://schemas.openxmlformats.org/markup-compatibility/2006" xmlns:sle15="http://schemas.microsoft.com/office/drawing/2012/slicer">
      <mc:Choice Requires="sle15">
        <xdr:graphicFrame macro="">
          <xdr:nvGraphicFramePr>
            <xdr:cNvPr id="4" name="ITTO Name">
              <a:extLst>
                <a:ext uri="{FF2B5EF4-FFF2-40B4-BE49-F238E27FC236}">
                  <a16:creationId xmlns:a16="http://schemas.microsoft.com/office/drawing/2014/main" id="{01895C39-1D93-0645-6135-E58213A25EEF}"/>
                </a:ext>
              </a:extLst>
            </xdr:cNvPr>
            <xdr:cNvGraphicFramePr/>
          </xdr:nvGraphicFramePr>
          <xdr:xfrm>
            <a:off x="0" y="0"/>
            <a:ext cx="0" cy="0"/>
          </xdr:xfrm>
          <a:graphic>
            <a:graphicData uri="http://schemas.microsoft.com/office/drawing/2010/slicer">
              <sle:slicer xmlns:sle="http://schemas.microsoft.com/office/drawing/2010/slicer" name="ITTO Name"/>
            </a:graphicData>
          </a:graphic>
        </xdr:graphicFrame>
      </mc:Choice>
      <mc:Fallback xmlns="">
        <xdr:sp macro="" textlink="">
          <xdr:nvSpPr>
            <xdr:cNvPr id="0" name=""/>
            <xdr:cNvSpPr>
              <a:spLocks noTextEdit="1"/>
            </xdr:cNvSpPr>
          </xdr:nvSpPr>
          <xdr:spPr>
            <a:xfrm>
              <a:off x="15278100" y="1346200"/>
              <a:ext cx="2635250" cy="59436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cess" xr10:uid="{2540B4EC-0732-4E64-8863-6C6436DD71EA}" sourceName="Process">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TO_Type" xr10:uid="{97942CA7-C0E5-4296-B9DB-301C8A949CDA}" sourceName="ITTO Type">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TO_Name" xr10:uid="{101FA656-58F4-48C3-80A9-0F5559F33C8C}" sourceName="ITTO Name">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cess" xr10:uid="{FD884E21-F2E0-4D49-851D-9F08B47F4C98}" cache="Slicer_Process" caption="Process" startItem="3" rowHeight="262466"/>
  <slicer name="ITTO Type" xr10:uid="{23E8CF4A-FF86-479E-9D25-C9CB2A9A3DC3}" cache="Slicer_ITTO_Type" caption="ITTO Type" rowHeight="262466"/>
  <slicer name="ITTO Name" xr10:uid="{5B82B983-3C2A-4799-BC3C-E04BD6090C9A}" cache="Slicer_ITTO_Name" caption="ITTO Name" startItem="44"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01F446-1501-4E3F-8747-71EE2C76E6AC}" name="Table2" displayName="Table2" ref="A1:G671" totalsRowShown="0">
  <autoFilter ref="A1:G671" xr:uid="{4601F446-1501-4E3F-8747-71EE2C76E6AC}">
    <filterColumn colId="0">
      <filters>
        <filter val="Control Quality"/>
      </filters>
    </filterColumn>
    <filterColumn colId="3">
      <filters>
        <filter val="Tool/Technique"/>
      </filters>
    </filterColumn>
  </autoFilter>
  <tableColumns count="7">
    <tableColumn id="1" xr3:uid="{D3EA1AF6-3FDC-452F-BED4-E18A38625947}" name="Process"/>
    <tableColumn id="2" xr3:uid="{BD90237B-84BA-4F76-9751-8B505964D03C}" name="Knowledge Area"/>
    <tableColumn id="3" xr3:uid="{6742B1F4-A2BB-4DA5-9E40-37580DD02DAB}" name="Process Group"/>
    <tableColumn id="4" xr3:uid="{7ED7F1C1-ED4A-4E9A-B0CF-93178AA65758}" name="ITTO Type"/>
    <tableColumn id="5" xr3:uid="{4D0FDA4F-AABC-404E-B800-3D4AC434317A}" name="ITTO ID"/>
    <tableColumn id="6" xr3:uid="{D82EC7A5-EEA3-4648-9D2E-1E765F1C6C28}" name="ITTO Name"/>
    <tableColumn id="7" xr3:uid="{823CDC05-0A92-48A6-905B-D9815DB8EA95}" name="Usage C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452EE-24BB-47B0-95AC-959DFAB0B096}">
  <dimension ref="A1:E27"/>
  <sheetViews>
    <sheetView zoomScale="70" zoomScaleNormal="70" workbookViewId="0">
      <selection activeCell="A13" sqref="A13"/>
    </sheetView>
  </sheetViews>
  <sheetFormatPr defaultColWidth="10.6640625" defaultRowHeight="15.5" x14ac:dyDescent="0.35"/>
  <cols>
    <col min="1" max="1" width="105.33203125" customWidth="1"/>
    <col min="4" max="4" width="23.1640625" customWidth="1"/>
    <col min="5" max="5" width="40.5" customWidth="1"/>
    <col min="6" max="6" width="19.6640625" customWidth="1"/>
    <col min="8" max="8" width="28" customWidth="1"/>
    <col min="10" max="10" width="27.6640625" customWidth="1"/>
    <col min="12" max="12" width="31" customWidth="1"/>
  </cols>
  <sheetData>
    <row r="1" spans="1:1" ht="183.5" customHeight="1" x14ac:dyDescent="0.35">
      <c r="A1" s="5" t="s">
        <v>570</v>
      </c>
    </row>
    <row r="27" spans="5:5" x14ac:dyDescent="0.35">
      <c r="E27" s="10" t="s">
        <v>569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23FF3-F2A5-A941-A71C-4F23A5F06869}">
  <dimension ref="A1:L32"/>
  <sheetViews>
    <sheetView workbookViewId="0">
      <selection activeCell="E12" sqref="E12:F14"/>
    </sheetView>
  </sheetViews>
  <sheetFormatPr defaultColWidth="10.6640625" defaultRowHeight="15.5" x14ac:dyDescent="0.35"/>
  <cols>
    <col min="4" max="4" width="23.1640625" customWidth="1"/>
    <col min="6" max="6" width="19.6640625" customWidth="1"/>
    <col min="8" max="8" width="28" customWidth="1"/>
    <col min="10" max="10" width="27.6640625" customWidth="1"/>
    <col min="12" max="12" width="31" customWidth="1"/>
  </cols>
  <sheetData>
    <row r="1" spans="1:12" ht="21.5" thickBot="1" x14ac:dyDescent="0.55000000000000004">
      <c r="A1" s="18" t="s">
        <v>469</v>
      </c>
      <c r="B1" s="19"/>
      <c r="C1" s="57" t="s">
        <v>470</v>
      </c>
      <c r="D1" s="58"/>
      <c r="E1" s="58"/>
      <c r="F1" s="58"/>
      <c r="G1" s="58"/>
      <c r="H1" s="58"/>
      <c r="I1" s="58"/>
      <c r="J1" s="58"/>
      <c r="K1" s="58"/>
      <c r="L1" s="59"/>
    </row>
    <row r="2" spans="1:12" ht="40" customHeight="1" thickBot="1" x14ac:dyDescent="0.4">
      <c r="A2" s="20"/>
      <c r="B2" s="21"/>
      <c r="C2" s="60" t="s">
        <v>9</v>
      </c>
      <c r="D2" s="61"/>
      <c r="E2" s="60" t="s">
        <v>57</v>
      </c>
      <c r="F2" s="61"/>
      <c r="G2" s="60" t="s">
        <v>249</v>
      </c>
      <c r="H2" s="61"/>
      <c r="I2" s="62" t="s">
        <v>481</v>
      </c>
      <c r="J2" s="61"/>
      <c r="K2" s="60" t="s">
        <v>377</v>
      </c>
      <c r="L2" s="61"/>
    </row>
    <row r="3" spans="1:12" x14ac:dyDescent="0.35">
      <c r="A3" s="22" t="s">
        <v>471</v>
      </c>
      <c r="B3" s="23"/>
      <c r="C3" s="47" t="s">
        <v>7</v>
      </c>
      <c r="D3" s="48"/>
      <c r="E3" s="49" t="s">
        <v>56</v>
      </c>
      <c r="F3" s="50"/>
      <c r="G3" s="27"/>
      <c r="H3" s="28"/>
      <c r="I3" s="27"/>
      <c r="J3" s="28"/>
      <c r="K3" s="27"/>
      <c r="L3" s="33"/>
    </row>
    <row r="4" spans="1:12" x14ac:dyDescent="0.35">
      <c r="A4" s="15"/>
      <c r="B4" s="14"/>
      <c r="C4" s="37"/>
      <c r="D4" s="37"/>
      <c r="E4" s="40"/>
      <c r="F4" s="41"/>
      <c r="G4" s="29"/>
      <c r="H4" s="30"/>
      <c r="I4" s="29"/>
      <c r="J4" s="30"/>
      <c r="K4" s="29"/>
      <c r="L4" s="34"/>
    </row>
    <row r="5" spans="1:12" x14ac:dyDescent="0.35">
      <c r="A5" s="15"/>
      <c r="B5" s="14"/>
      <c r="C5" s="37"/>
      <c r="D5" s="37"/>
      <c r="E5" s="42"/>
      <c r="F5" s="43"/>
      <c r="G5" s="31"/>
      <c r="H5" s="32"/>
      <c r="I5" s="31"/>
      <c r="J5" s="32"/>
      <c r="K5" s="31"/>
      <c r="L5" s="35"/>
    </row>
    <row r="6" spans="1:12" x14ac:dyDescent="0.35">
      <c r="A6" s="24" t="s">
        <v>472</v>
      </c>
      <c r="B6" s="25"/>
      <c r="C6" s="36"/>
      <c r="D6" s="37"/>
      <c r="E6" s="38" t="s">
        <v>482</v>
      </c>
      <c r="F6" s="39"/>
      <c r="G6" s="44"/>
      <c r="H6" s="45"/>
      <c r="I6" s="44"/>
      <c r="J6" s="45"/>
      <c r="K6" s="44"/>
      <c r="L6" s="46"/>
    </row>
    <row r="7" spans="1:12" x14ac:dyDescent="0.35">
      <c r="A7" s="26"/>
      <c r="B7" s="25"/>
      <c r="C7" s="37"/>
      <c r="D7" s="37"/>
      <c r="E7" s="40"/>
      <c r="F7" s="41"/>
      <c r="G7" s="29"/>
      <c r="H7" s="30"/>
      <c r="I7" s="29"/>
      <c r="J7" s="30"/>
      <c r="K7" s="29"/>
      <c r="L7" s="34"/>
    </row>
    <row r="8" spans="1:12" ht="30" customHeight="1" x14ac:dyDescent="0.35">
      <c r="A8" s="26"/>
      <c r="B8" s="25"/>
      <c r="C8" s="37"/>
      <c r="D8" s="37"/>
      <c r="E8" s="42"/>
      <c r="F8" s="43"/>
      <c r="G8" s="31"/>
      <c r="H8" s="32"/>
      <c r="I8" s="31"/>
      <c r="J8" s="32"/>
      <c r="K8" s="31"/>
      <c r="L8" s="35"/>
    </row>
    <row r="9" spans="1:12" x14ac:dyDescent="0.35">
      <c r="A9" s="13" t="s">
        <v>473</v>
      </c>
      <c r="B9" s="14"/>
      <c r="C9" s="36"/>
      <c r="D9" s="37"/>
      <c r="E9" s="38"/>
      <c r="F9" s="39"/>
      <c r="G9" s="44"/>
      <c r="H9" s="45"/>
      <c r="I9" s="44"/>
      <c r="J9" s="45"/>
      <c r="K9" s="44"/>
      <c r="L9" s="46"/>
    </row>
    <row r="10" spans="1:12" x14ac:dyDescent="0.35">
      <c r="A10" s="15"/>
      <c r="B10" s="14"/>
      <c r="C10" s="37"/>
      <c r="D10" s="37"/>
      <c r="E10" s="40"/>
      <c r="F10" s="41"/>
      <c r="G10" s="29"/>
      <c r="H10" s="30"/>
      <c r="I10" s="29"/>
      <c r="J10" s="30"/>
      <c r="K10" s="29"/>
      <c r="L10" s="34"/>
    </row>
    <row r="11" spans="1:12" x14ac:dyDescent="0.35">
      <c r="A11" s="15"/>
      <c r="B11" s="14"/>
      <c r="C11" s="37"/>
      <c r="D11" s="37"/>
      <c r="E11" s="42"/>
      <c r="F11" s="43"/>
      <c r="G11" s="31"/>
      <c r="H11" s="32"/>
      <c r="I11" s="31"/>
      <c r="J11" s="32"/>
      <c r="K11" s="31"/>
      <c r="L11" s="35"/>
    </row>
    <row r="12" spans="1:12" x14ac:dyDescent="0.35">
      <c r="A12" s="13" t="s">
        <v>474</v>
      </c>
      <c r="B12" s="14"/>
      <c r="C12" s="36"/>
      <c r="D12" s="37"/>
      <c r="E12" s="38"/>
      <c r="F12" s="39"/>
      <c r="G12" s="44"/>
      <c r="H12" s="45"/>
      <c r="I12" s="44"/>
      <c r="J12" s="45"/>
      <c r="K12" s="44"/>
      <c r="L12" s="46"/>
    </row>
    <row r="13" spans="1:12" x14ac:dyDescent="0.35">
      <c r="A13" s="15"/>
      <c r="B13" s="14"/>
      <c r="C13" s="37"/>
      <c r="D13" s="37"/>
      <c r="E13" s="40"/>
      <c r="F13" s="41"/>
      <c r="G13" s="29"/>
      <c r="H13" s="30"/>
      <c r="I13" s="29"/>
      <c r="J13" s="30"/>
      <c r="K13" s="29"/>
      <c r="L13" s="34"/>
    </row>
    <row r="14" spans="1:12" x14ac:dyDescent="0.35">
      <c r="A14" s="15"/>
      <c r="B14" s="14"/>
      <c r="C14" s="37"/>
      <c r="D14" s="37"/>
      <c r="E14" s="42"/>
      <c r="F14" s="43"/>
      <c r="G14" s="31"/>
      <c r="H14" s="32"/>
      <c r="I14" s="31"/>
      <c r="J14" s="32"/>
      <c r="K14" s="31"/>
      <c r="L14" s="35"/>
    </row>
    <row r="15" spans="1:12" x14ac:dyDescent="0.35">
      <c r="A15" s="13" t="s">
        <v>475</v>
      </c>
      <c r="B15" s="14"/>
      <c r="C15" s="36"/>
      <c r="D15" s="37"/>
      <c r="E15" s="38"/>
      <c r="F15" s="39"/>
      <c r="G15" s="44"/>
      <c r="H15" s="45"/>
      <c r="I15" s="44"/>
      <c r="J15" s="45"/>
      <c r="K15" s="44"/>
      <c r="L15" s="46"/>
    </row>
    <row r="16" spans="1:12" x14ac:dyDescent="0.35">
      <c r="A16" s="15"/>
      <c r="B16" s="14"/>
      <c r="C16" s="37"/>
      <c r="D16" s="37"/>
      <c r="E16" s="40"/>
      <c r="F16" s="41"/>
      <c r="G16" s="29"/>
      <c r="H16" s="30"/>
      <c r="I16" s="29"/>
      <c r="J16" s="30"/>
      <c r="K16" s="29"/>
      <c r="L16" s="34"/>
    </row>
    <row r="17" spans="1:12" x14ac:dyDescent="0.35">
      <c r="A17" s="15"/>
      <c r="B17" s="14"/>
      <c r="C17" s="37"/>
      <c r="D17" s="37"/>
      <c r="E17" s="42"/>
      <c r="F17" s="43"/>
      <c r="G17" s="31"/>
      <c r="H17" s="32"/>
      <c r="I17" s="31"/>
      <c r="J17" s="32"/>
      <c r="K17" s="31"/>
      <c r="L17" s="35"/>
    </row>
    <row r="18" spans="1:12" x14ac:dyDescent="0.35">
      <c r="A18" s="13" t="s">
        <v>476</v>
      </c>
      <c r="B18" s="14"/>
      <c r="C18" s="36"/>
      <c r="D18" s="37"/>
      <c r="E18" s="38"/>
      <c r="F18" s="39"/>
      <c r="G18" s="44"/>
      <c r="H18" s="45"/>
      <c r="I18" s="44"/>
      <c r="J18" s="45"/>
      <c r="K18" s="44"/>
      <c r="L18" s="46"/>
    </row>
    <row r="19" spans="1:12" x14ac:dyDescent="0.35">
      <c r="A19" s="15"/>
      <c r="B19" s="14"/>
      <c r="C19" s="37"/>
      <c r="D19" s="37"/>
      <c r="E19" s="40"/>
      <c r="F19" s="41"/>
      <c r="G19" s="29"/>
      <c r="H19" s="30"/>
      <c r="I19" s="29"/>
      <c r="J19" s="30"/>
      <c r="K19" s="29"/>
      <c r="L19" s="34"/>
    </row>
    <row r="20" spans="1:12" x14ac:dyDescent="0.35">
      <c r="A20" s="15"/>
      <c r="B20" s="14"/>
      <c r="C20" s="37"/>
      <c r="D20" s="37"/>
      <c r="E20" s="42"/>
      <c r="F20" s="43"/>
      <c r="G20" s="31"/>
      <c r="H20" s="32"/>
      <c r="I20" s="31"/>
      <c r="J20" s="32"/>
      <c r="K20" s="31"/>
      <c r="L20" s="35"/>
    </row>
    <row r="21" spans="1:12" x14ac:dyDescent="0.35">
      <c r="A21" s="13" t="s">
        <v>477</v>
      </c>
      <c r="B21" s="14"/>
      <c r="C21" s="36"/>
      <c r="D21" s="37"/>
      <c r="E21" s="38"/>
      <c r="F21" s="39"/>
      <c r="G21" s="44"/>
      <c r="H21" s="45"/>
      <c r="I21" s="44"/>
      <c r="J21" s="45"/>
      <c r="K21" s="44"/>
      <c r="L21" s="46"/>
    </row>
    <row r="22" spans="1:12" x14ac:dyDescent="0.35">
      <c r="A22" s="15"/>
      <c r="B22" s="14"/>
      <c r="C22" s="37"/>
      <c r="D22" s="37"/>
      <c r="E22" s="40"/>
      <c r="F22" s="41"/>
      <c r="G22" s="29"/>
      <c r="H22" s="30"/>
      <c r="I22" s="29"/>
      <c r="J22" s="30"/>
      <c r="K22" s="29"/>
      <c r="L22" s="34"/>
    </row>
    <row r="23" spans="1:12" x14ac:dyDescent="0.35">
      <c r="A23" s="15"/>
      <c r="B23" s="14"/>
      <c r="C23" s="37"/>
      <c r="D23" s="37"/>
      <c r="E23" s="42"/>
      <c r="F23" s="43"/>
      <c r="G23" s="31"/>
      <c r="H23" s="32"/>
      <c r="I23" s="31"/>
      <c r="J23" s="32"/>
      <c r="K23" s="31"/>
      <c r="L23" s="35"/>
    </row>
    <row r="24" spans="1:12" x14ac:dyDescent="0.35">
      <c r="A24" s="13" t="s">
        <v>478</v>
      </c>
      <c r="B24" s="14"/>
      <c r="C24" s="36"/>
      <c r="D24" s="37"/>
      <c r="E24" s="38"/>
      <c r="F24" s="39"/>
      <c r="G24" s="44"/>
      <c r="H24" s="45"/>
      <c r="I24" s="44"/>
      <c r="J24" s="45"/>
      <c r="K24" s="44"/>
      <c r="L24" s="46"/>
    </row>
    <row r="25" spans="1:12" x14ac:dyDescent="0.35">
      <c r="A25" s="15"/>
      <c r="B25" s="14"/>
      <c r="C25" s="37"/>
      <c r="D25" s="37"/>
      <c r="E25" s="40"/>
      <c r="F25" s="41"/>
      <c r="G25" s="29"/>
      <c r="H25" s="30"/>
      <c r="I25" s="29"/>
      <c r="J25" s="30"/>
      <c r="K25" s="29"/>
      <c r="L25" s="34"/>
    </row>
    <row r="26" spans="1:12" x14ac:dyDescent="0.35">
      <c r="A26" s="15"/>
      <c r="B26" s="14"/>
      <c r="C26" s="37"/>
      <c r="D26" s="37"/>
      <c r="E26" s="42"/>
      <c r="F26" s="43"/>
      <c r="G26" s="31"/>
      <c r="H26" s="32"/>
      <c r="I26" s="31"/>
      <c r="J26" s="32"/>
      <c r="K26" s="31"/>
      <c r="L26" s="35"/>
    </row>
    <row r="27" spans="1:12" x14ac:dyDescent="0.35">
      <c r="A27" s="13" t="s">
        <v>479</v>
      </c>
      <c r="B27" s="14"/>
      <c r="C27" s="36"/>
      <c r="D27" s="37"/>
      <c r="E27" s="38"/>
      <c r="F27" s="39"/>
      <c r="G27" s="44"/>
      <c r="H27" s="45"/>
      <c r="I27" s="44"/>
      <c r="J27" s="45"/>
      <c r="K27" s="44"/>
      <c r="L27" s="46"/>
    </row>
    <row r="28" spans="1:12" x14ac:dyDescent="0.35">
      <c r="A28" s="15"/>
      <c r="B28" s="14"/>
      <c r="C28" s="37"/>
      <c r="D28" s="37"/>
      <c r="E28" s="40"/>
      <c r="F28" s="41"/>
      <c r="G28" s="29"/>
      <c r="H28" s="30"/>
      <c r="I28" s="29"/>
      <c r="J28" s="30"/>
      <c r="K28" s="29"/>
      <c r="L28" s="34"/>
    </row>
    <row r="29" spans="1:12" x14ac:dyDescent="0.35">
      <c r="A29" s="15"/>
      <c r="B29" s="14"/>
      <c r="C29" s="37"/>
      <c r="D29" s="37"/>
      <c r="E29" s="42"/>
      <c r="F29" s="43"/>
      <c r="G29" s="31"/>
      <c r="H29" s="32"/>
      <c r="I29" s="31"/>
      <c r="J29" s="32"/>
      <c r="K29" s="31"/>
      <c r="L29" s="35"/>
    </row>
    <row r="30" spans="1:12" x14ac:dyDescent="0.35">
      <c r="A30" s="13" t="s">
        <v>480</v>
      </c>
      <c r="B30" s="14"/>
      <c r="C30" s="36" t="s">
        <v>35</v>
      </c>
      <c r="D30" s="37"/>
      <c r="E30" s="38"/>
      <c r="F30" s="39"/>
      <c r="G30" s="44"/>
      <c r="H30" s="45"/>
      <c r="I30" s="44"/>
      <c r="J30" s="45"/>
      <c r="K30" s="44"/>
      <c r="L30" s="46"/>
    </row>
    <row r="31" spans="1:12" x14ac:dyDescent="0.35">
      <c r="A31" s="15"/>
      <c r="B31" s="14"/>
      <c r="C31" s="37"/>
      <c r="D31" s="37"/>
      <c r="E31" s="40"/>
      <c r="F31" s="41"/>
      <c r="G31" s="29"/>
      <c r="H31" s="30"/>
      <c r="I31" s="29"/>
      <c r="J31" s="30"/>
      <c r="K31" s="29"/>
      <c r="L31" s="34"/>
    </row>
    <row r="32" spans="1:12" ht="16" thickBot="1" x14ac:dyDescent="0.4">
      <c r="A32" s="16"/>
      <c r="B32" s="17"/>
      <c r="C32" s="51"/>
      <c r="D32" s="51"/>
      <c r="E32" s="52"/>
      <c r="F32" s="53"/>
      <c r="G32" s="54"/>
      <c r="H32" s="55"/>
      <c r="I32" s="54"/>
      <c r="J32" s="55"/>
      <c r="K32" s="54"/>
      <c r="L32" s="56"/>
    </row>
  </sheetData>
  <mergeCells count="67">
    <mergeCell ref="C1:L1"/>
    <mergeCell ref="C2:D2"/>
    <mergeCell ref="E2:F2"/>
    <mergeCell ref="G2:H2"/>
    <mergeCell ref="I2:J2"/>
    <mergeCell ref="K2:L2"/>
    <mergeCell ref="C27:D29"/>
    <mergeCell ref="E27:F29"/>
    <mergeCell ref="G27:H29"/>
    <mergeCell ref="I27:J29"/>
    <mergeCell ref="K27:L29"/>
    <mergeCell ref="C30:D32"/>
    <mergeCell ref="E30:F32"/>
    <mergeCell ref="G30:H32"/>
    <mergeCell ref="I30:J32"/>
    <mergeCell ref="K30:L32"/>
    <mergeCell ref="C21:D23"/>
    <mergeCell ref="E21:F23"/>
    <mergeCell ref="G21:H23"/>
    <mergeCell ref="I21:J23"/>
    <mergeCell ref="K21:L23"/>
    <mergeCell ref="C24:D26"/>
    <mergeCell ref="E24:F26"/>
    <mergeCell ref="G24:H26"/>
    <mergeCell ref="I24:J26"/>
    <mergeCell ref="K24:L26"/>
    <mergeCell ref="C15:D17"/>
    <mergeCell ref="E15:F17"/>
    <mergeCell ref="G15:H17"/>
    <mergeCell ref="I15:J17"/>
    <mergeCell ref="K15:L17"/>
    <mergeCell ref="C18:D20"/>
    <mergeCell ref="E18:F20"/>
    <mergeCell ref="G18:H20"/>
    <mergeCell ref="I18:J20"/>
    <mergeCell ref="K18:L20"/>
    <mergeCell ref="E9:F11"/>
    <mergeCell ref="G9:H11"/>
    <mergeCell ref="I9:J11"/>
    <mergeCell ref="K9:L11"/>
    <mergeCell ref="C12:D14"/>
    <mergeCell ref="E12:F14"/>
    <mergeCell ref="G12:H14"/>
    <mergeCell ref="I12:J14"/>
    <mergeCell ref="K12:L14"/>
    <mergeCell ref="C9:D11"/>
    <mergeCell ref="I3:J5"/>
    <mergeCell ref="K3:L5"/>
    <mergeCell ref="C6:D8"/>
    <mergeCell ref="E6:F8"/>
    <mergeCell ref="G6:H8"/>
    <mergeCell ref="I6:J8"/>
    <mergeCell ref="K6:L8"/>
    <mergeCell ref="C3:D5"/>
    <mergeCell ref="E3:F5"/>
    <mergeCell ref="G3:H5"/>
    <mergeCell ref="A30:B32"/>
    <mergeCell ref="A1:B2"/>
    <mergeCell ref="A3:B5"/>
    <mergeCell ref="A6:B8"/>
    <mergeCell ref="A9:B11"/>
    <mergeCell ref="A12:B14"/>
    <mergeCell ref="A15:B17"/>
    <mergeCell ref="A18:B20"/>
    <mergeCell ref="A21:B23"/>
    <mergeCell ref="A24:B26"/>
    <mergeCell ref="A27:B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2"/>
  <sheetViews>
    <sheetView workbookViewId="0"/>
  </sheetViews>
  <sheetFormatPr defaultColWidth="8.83203125" defaultRowHeight="15.5" x14ac:dyDescent="0.35"/>
  <cols>
    <col min="1" max="1" width="8.83203125" customWidth="1"/>
    <col min="2" max="2" width="15.83203125" customWidth="1"/>
    <col min="3" max="3" width="40.83203125" customWidth="1"/>
    <col min="4" max="4" width="35.83203125" customWidth="1"/>
    <col min="5" max="5" width="30.83203125" customWidth="1"/>
    <col min="6" max="6" width="60.83203125" customWidth="1"/>
    <col min="7" max="7" width="12.83203125" customWidth="1"/>
  </cols>
  <sheetData>
    <row r="1" spans="1:7" x14ac:dyDescent="0.35">
      <c r="A1" t="s">
        <v>383</v>
      </c>
      <c r="B1" t="s">
        <v>384</v>
      </c>
      <c r="C1" t="s">
        <v>385</v>
      </c>
      <c r="D1" t="s">
        <v>386</v>
      </c>
      <c r="E1" t="s">
        <v>387</v>
      </c>
      <c r="F1" t="s">
        <v>388</v>
      </c>
      <c r="G1" t="s">
        <v>6</v>
      </c>
    </row>
    <row r="2" spans="1:7" x14ac:dyDescent="0.35">
      <c r="A2" t="s">
        <v>11</v>
      </c>
      <c r="B2" t="s">
        <v>10</v>
      </c>
      <c r="C2" t="s">
        <v>12</v>
      </c>
      <c r="D2" t="s">
        <v>7</v>
      </c>
      <c r="E2" t="s">
        <v>8</v>
      </c>
      <c r="F2" t="s">
        <v>7</v>
      </c>
      <c r="G2">
        <v>1</v>
      </c>
    </row>
    <row r="3" spans="1:7" x14ac:dyDescent="0.35">
      <c r="A3" t="s">
        <v>13</v>
      </c>
      <c r="B3" t="s">
        <v>10</v>
      </c>
      <c r="C3" t="s">
        <v>14</v>
      </c>
      <c r="D3" t="s">
        <v>7</v>
      </c>
      <c r="E3" t="s">
        <v>8</v>
      </c>
      <c r="F3" t="s">
        <v>7</v>
      </c>
      <c r="G3">
        <v>1</v>
      </c>
    </row>
    <row r="4" spans="1:7" x14ac:dyDescent="0.35">
      <c r="A4" t="s">
        <v>15</v>
      </c>
      <c r="B4" t="s">
        <v>10</v>
      </c>
      <c r="C4" t="s">
        <v>16</v>
      </c>
      <c r="D4" t="s">
        <v>7</v>
      </c>
      <c r="E4" t="s">
        <v>389</v>
      </c>
      <c r="F4" t="s">
        <v>390</v>
      </c>
      <c r="G4">
        <v>11</v>
      </c>
    </row>
    <row r="5" spans="1:7" x14ac:dyDescent="0.35">
      <c r="A5" t="s">
        <v>17</v>
      </c>
      <c r="B5" t="s">
        <v>10</v>
      </c>
      <c r="C5" t="s">
        <v>18</v>
      </c>
      <c r="D5" t="s">
        <v>7</v>
      </c>
      <c r="E5" t="s">
        <v>391</v>
      </c>
      <c r="F5" t="s">
        <v>392</v>
      </c>
      <c r="G5">
        <v>40</v>
      </c>
    </row>
    <row r="6" spans="1:7" x14ac:dyDescent="0.35">
      <c r="A6" t="s">
        <v>19</v>
      </c>
      <c r="B6" t="s">
        <v>10</v>
      </c>
      <c r="C6" t="s">
        <v>20</v>
      </c>
      <c r="D6" t="s">
        <v>7</v>
      </c>
      <c r="E6" t="s">
        <v>391</v>
      </c>
      <c r="F6" t="s">
        <v>393</v>
      </c>
      <c r="G6">
        <v>46</v>
      </c>
    </row>
    <row r="7" spans="1:7" x14ac:dyDescent="0.35">
      <c r="A7" t="s">
        <v>37</v>
      </c>
      <c r="B7" t="s">
        <v>10</v>
      </c>
      <c r="C7" t="s">
        <v>32</v>
      </c>
      <c r="D7" t="s">
        <v>35</v>
      </c>
      <c r="E7" t="s">
        <v>394</v>
      </c>
      <c r="F7" t="s">
        <v>395</v>
      </c>
      <c r="G7">
        <v>14</v>
      </c>
    </row>
    <row r="8" spans="1:7" x14ac:dyDescent="0.35">
      <c r="A8" t="s">
        <v>38</v>
      </c>
      <c r="B8" t="s">
        <v>10</v>
      </c>
      <c r="C8" t="s">
        <v>39</v>
      </c>
      <c r="D8" t="s">
        <v>35</v>
      </c>
      <c r="E8" t="s">
        <v>396</v>
      </c>
      <c r="F8" t="s">
        <v>397</v>
      </c>
      <c r="G8">
        <v>5</v>
      </c>
    </row>
    <row r="9" spans="1:7" x14ac:dyDescent="0.35">
      <c r="A9" t="s">
        <v>40</v>
      </c>
      <c r="B9" t="s">
        <v>10</v>
      </c>
      <c r="C9" t="s">
        <v>41</v>
      </c>
      <c r="D9" t="s">
        <v>35</v>
      </c>
      <c r="E9" t="s">
        <v>398</v>
      </c>
      <c r="F9" t="s">
        <v>399</v>
      </c>
      <c r="G9">
        <v>47</v>
      </c>
    </row>
    <row r="10" spans="1:7" x14ac:dyDescent="0.35">
      <c r="A10" t="s">
        <v>42</v>
      </c>
      <c r="B10" t="s">
        <v>10</v>
      </c>
      <c r="C10" t="s">
        <v>43</v>
      </c>
      <c r="D10" t="s">
        <v>35</v>
      </c>
      <c r="E10" t="s">
        <v>398</v>
      </c>
      <c r="F10" t="s">
        <v>400</v>
      </c>
      <c r="G10">
        <v>43</v>
      </c>
    </row>
    <row r="11" spans="1:7" x14ac:dyDescent="0.35">
      <c r="A11" t="s">
        <v>58</v>
      </c>
      <c r="B11" t="s">
        <v>10</v>
      </c>
      <c r="C11" t="s">
        <v>59</v>
      </c>
      <c r="D11" t="s">
        <v>56</v>
      </c>
      <c r="E11" t="s">
        <v>8</v>
      </c>
      <c r="F11" t="s">
        <v>56</v>
      </c>
      <c r="G11">
        <v>1</v>
      </c>
    </row>
    <row r="12" spans="1:7" x14ac:dyDescent="0.35">
      <c r="A12" t="s">
        <v>202</v>
      </c>
      <c r="B12" t="s">
        <v>10</v>
      </c>
      <c r="C12" t="s">
        <v>203</v>
      </c>
      <c r="D12" t="s">
        <v>201</v>
      </c>
      <c r="E12" t="s">
        <v>401</v>
      </c>
      <c r="F12" t="s">
        <v>402</v>
      </c>
      <c r="G12">
        <v>4</v>
      </c>
    </row>
    <row r="13" spans="1:7" x14ac:dyDescent="0.35">
      <c r="A13" t="s">
        <v>250</v>
      </c>
      <c r="B13" t="s">
        <v>10</v>
      </c>
      <c r="C13" t="s">
        <v>251</v>
      </c>
      <c r="D13" t="s">
        <v>248</v>
      </c>
      <c r="E13" t="s">
        <v>403</v>
      </c>
      <c r="F13" t="s">
        <v>404</v>
      </c>
      <c r="G13">
        <v>3</v>
      </c>
    </row>
    <row r="14" spans="1:7" x14ac:dyDescent="0.35">
      <c r="A14" t="s">
        <v>259</v>
      </c>
      <c r="B14" t="s">
        <v>10</v>
      </c>
      <c r="C14" t="s">
        <v>253</v>
      </c>
      <c r="D14" t="s">
        <v>258</v>
      </c>
      <c r="E14" t="s">
        <v>405</v>
      </c>
      <c r="F14" t="s">
        <v>406</v>
      </c>
      <c r="G14">
        <v>2</v>
      </c>
    </row>
    <row r="15" spans="1:7" x14ac:dyDescent="0.35">
      <c r="A15" t="s">
        <v>304</v>
      </c>
      <c r="B15" t="s">
        <v>10</v>
      </c>
      <c r="C15" t="s">
        <v>305</v>
      </c>
      <c r="D15" t="s">
        <v>303</v>
      </c>
      <c r="E15" t="s">
        <v>407</v>
      </c>
      <c r="F15" t="s">
        <v>408</v>
      </c>
      <c r="G15">
        <v>6</v>
      </c>
    </row>
    <row r="16" spans="1:7" x14ac:dyDescent="0.35">
      <c r="A16" t="s">
        <v>306</v>
      </c>
      <c r="B16" t="s">
        <v>10</v>
      </c>
      <c r="C16" t="s">
        <v>302</v>
      </c>
      <c r="D16" t="s">
        <v>303</v>
      </c>
      <c r="E16" t="s">
        <v>173</v>
      </c>
      <c r="F16" t="s">
        <v>303</v>
      </c>
      <c r="G16">
        <v>1</v>
      </c>
    </row>
    <row r="17" spans="1:7" x14ac:dyDescent="0.35">
      <c r="A17" t="s">
        <v>315</v>
      </c>
      <c r="B17" t="s">
        <v>10</v>
      </c>
      <c r="C17" t="s">
        <v>51</v>
      </c>
      <c r="D17" t="s">
        <v>314</v>
      </c>
      <c r="E17" t="s">
        <v>409</v>
      </c>
      <c r="F17" t="s">
        <v>410</v>
      </c>
      <c r="G17">
        <v>2</v>
      </c>
    </row>
    <row r="18" spans="1:7" x14ac:dyDescent="0.35">
      <c r="A18" t="s">
        <v>317</v>
      </c>
      <c r="B18" t="s">
        <v>10</v>
      </c>
      <c r="C18" t="s">
        <v>318</v>
      </c>
      <c r="D18" t="s">
        <v>316</v>
      </c>
      <c r="E18" t="s">
        <v>226</v>
      </c>
      <c r="F18" t="s">
        <v>316</v>
      </c>
      <c r="G18">
        <v>1</v>
      </c>
    </row>
    <row r="19" spans="1:7" x14ac:dyDescent="0.35">
      <c r="A19" t="s">
        <v>331</v>
      </c>
      <c r="B19" t="s">
        <v>10</v>
      </c>
      <c r="C19" t="s">
        <v>332</v>
      </c>
      <c r="D19" t="s">
        <v>329</v>
      </c>
      <c r="E19" t="s">
        <v>8</v>
      </c>
      <c r="F19" t="s">
        <v>329</v>
      </c>
      <c r="G19">
        <v>1</v>
      </c>
    </row>
    <row r="20" spans="1:7" x14ac:dyDescent="0.35">
      <c r="A20" t="s">
        <v>339</v>
      </c>
      <c r="B20" t="s">
        <v>10</v>
      </c>
      <c r="C20" t="s">
        <v>340</v>
      </c>
      <c r="D20" t="s">
        <v>338</v>
      </c>
      <c r="E20" t="s">
        <v>62</v>
      </c>
      <c r="F20" t="s">
        <v>338</v>
      </c>
      <c r="G20">
        <v>1</v>
      </c>
    </row>
    <row r="21" spans="1:7" x14ac:dyDescent="0.35">
      <c r="A21" t="s">
        <v>341</v>
      </c>
      <c r="B21" t="s">
        <v>10</v>
      </c>
      <c r="C21" t="s">
        <v>255</v>
      </c>
      <c r="D21" t="s">
        <v>338</v>
      </c>
      <c r="E21" t="s">
        <v>411</v>
      </c>
      <c r="F21" t="s">
        <v>412</v>
      </c>
      <c r="G21">
        <v>9</v>
      </c>
    </row>
    <row r="22" spans="1:7" x14ac:dyDescent="0.35">
      <c r="A22" t="s">
        <v>354</v>
      </c>
      <c r="B22" t="s">
        <v>10</v>
      </c>
      <c r="C22" t="s">
        <v>163</v>
      </c>
      <c r="D22" t="s">
        <v>353</v>
      </c>
      <c r="E22" t="s">
        <v>145</v>
      </c>
      <c r="F22" t="s">
        <v>353</v>
      </c>
      <c r="G22">
        <v>1</v>
      </c>
    </row>
    <row r="23" spans="1:7" x14ac:dyDescent="0.35">
      <c r="A23" t="s">
        <v>378</v>
      </c>
      <c r="B23" t="s">
        <v>10</v>
      </c>
      <c r="C23" t="s">
        <v>345</v>
      </c>
      <c r="D23" t="s">
        <v>376</v>
      </c>
      <c r="E23" t="s">
        <v>8</v>
      </c>
      <c r="F23" t="s">
        <v>376</v>
      </c>
      <c r="G23">
        <v>1</v>
      </c>
    </row>
    <row r="24" spans="1:7" x14ac:dyDescent="0.35">
      <c r="A24" t="s">
        <v>22</v>
      </c>
      <c r="B24" t="s">
        <v>21</v>
      </c>
      <c r="C24" t="s">
        <v>23</v>
      </c>
      <c r="D24" t="s">
        <v>7</v>
      </c>
      <c r="E24" t="s">
        <v>391</v>
      </c>
      <c r="F24" t="s">
        <v>413</v>
      </c>
      <c r="G24">
        <v>36</v>
      </c>
    </row>
    <row r="25" spans="1:7" x14ac:dyDescent="0.35">
      <c r="A25" t="s">
        <v>24</v>
      </c>
      <c r="B25" t="s">
        <v>21</v>
      </c>
      <c r="C25" t="s">
        <v>25</v>
      </c>
      <c r="D25" t="s">
        <v>7</v>
      </c>
      <c r="E25" t="s">
        <v>414</v>
      </c>
      <c r="F25" t="s">
        <v>415</v>
      </c>
      <c r="G25">
        <v>13</v>
      </c>
    </row>
    <row r="26" spans="1:7" x14ac:dyDescent="0.35">
      <c r="A26" t="s">
        <v>26</v>
      </c>
      <c r="B26" t="s">
        <v>21</v>
      </c>
      <c r="C26" t="s">
        <v>27</v>
      </c>
      <c r="D26" t="s">
        <v>7</v>
      </c>
      <c r="E26" t="s">
        <v>416</v>
      </c>
      <c r="F26" t="s">
        <v>417</v>
      </c>
      <c r="G26">
        <v>21</v>
      </c>
    </row>
    <row r="27" spans="1:7" x14ac:dyDescent="0.35">
      <c r="A27" t="s">
        <v>28</v>
      </c>
      <c r="B27" t="s">
        <v>21</v>
      </c>
      <c r="C27" t="s">
        <v>29</v>
      </c>
      <c r="D27" t="s">
        <v>7</v>
      </c>
      <c r="E27" t="s">
        <v>391</v>
      </c>
      <c r="F27" t="s">
        <v>418</v>
      </c>
      <c r="G27">
        <v>28</v>
      </c>
    </row>
    <row r="28" spans="1:7" x14ac:dyDescent="0.35">
      <c r="A28" t="s">
        <v>44</v>
      </c>
      <c r="B28" t="s">
        <v>21</v>
      </c>
      <c r="C28" t="s">
        <v>45</v>
      </c>
      <c r="D28" t="s">
        <v>35</v>
      </c>
      <c r="E28" t="s">
        <v>419</v>
      </c>
      <c r="F28" t="s">
        <v>420</v>
      </c>
      <c r="G28">
        <v>32</v>
      </c>
    </row>
    <row r="29" spans="1:7" x14ac:dyDescent="0.35">
      <c r="A29" t="s">
        <v>46</v>
      </c>
      <c r="B29" t="s">
        <v>21</v>
      </c>
      <c r="C29" t="s">
        <v>47</v>
      </c>
      <c r="D29" t="s">
        <v>35</v>
      </c>
      <c r="E29" t="s">
        <v>421</v>
      </c>
      <c r="F29" t="s">
        <v>422</v>
      </c>
      <c r="G29">
        <v>11</v>
      </c>
    </row>
    <row r="30" spans="1:7" x14ac:dyDescent="0.35">
      <c r="A30" t="s">
        <v>68</v>
      </c>
      <c r="B30" t="s">
        <v>21</v>
      </c>
      <c r="C30" t="s">
        <v>69</v>
      </c>
      <c r="D30" t="s">
        <v>67</v>
      </c>
      <c r="E30" t="s">
        <v>423</v>
      </c>
      <c r="F30" t="s">
        <v>424</v>
      </c>
      <c r="G30">
        <v>13</v>
      </c>
    </row>
    <row r="31" spans="1:7" x14ac:dyDescent="0.35">
      <c r="A31" t="s">
        <v>70</v>
      </c>
      <c r="B31" t="s">
        <v>21</v>
      </c>
      <c r="C31" t="s">
        <v>71</v>
      </c>
      <c r="D31" t="s">
        <v>67</v>
      </c>
      <c r="E31" t="s">
        <v>62</v>
      </c>
      <c r="F31" t="s">
        <v>67</v>
      </c>
      <c r="G31">
        <v>1</v>
      </c>
    </row>
    <row r="32" spans="1:7" x14ac:dyDescent="0.35">
      <c r="A32" t="s">
        <v>72</v>
      </c>
      <c r="B32" t="s">
        <v>21</v>
      </c>
      <c r="C32" t="s">
        <v>73</v>
      </c>
      <c r="D32" t="s">
        <v>67</v>
      </c>
      <c r="E32" t="s">
        <v>62</v>
      </c>
      <c r="F32" t="s">
        <v>67</v>
      </c>
      <c r="G32">
        <v>1</v>
      </c>
    </row>
    <row r="33" spans="1:7" x14ac:dyDescent="0.35">
      <c r="A33" t="s">
        <v>79</v>
      </c>
      <c r="B33" t="s">
        <v>21</v>
      </c>
      <c r="C33" t="s">
        <v>80</v>
      </c>
      <c r="D33" t="s">
        <v>78</v>
      </c>
      <c r="E33" t="s">
        <v>62</v>
      </c>
      <c r="F33" t="s">
        <v>78</v>
      </c>
      <c r="G33">
        <v>1</v>
      </c>
    </row>
    <row r="34" spans="1:7" x14ac:dyDescent="0.35">
      <c r="A34" t="s">
        <v>84</v>
      </c>
      <c r="B34" t="s">
        <v>21</v>
      </c>
      <c r="C34" t="s">
        <v>85</v>
      </c>
      <c r="D34" t="s">
        <v>83</v>
      </c>
      <c r="E34" t="s">
        <v>425</v>
      </c>
      <c r="F34" t="s">
        <v>426</v>
      </c>
      <c r="G34">
        <v>2</v>
      </c>
    </row>
    <row r="35" spans="1:7" x14ac:dyDescent="0.35">
      <c r="A35" t="s">
        <v>93</v>
      </c>
      <c r="B35" t="s">
        <v>21</v>
      </c>
      <c r="C35" t="s">
        <v>94</v>
      </c>
      <c r="D35" t="s">
        <v>92</v>
      </c>
      <c r="E35" t="s">
        <v>89</v>
      </c>
      <c r="F35" t="s">
        <v>92</v>
      </c>
      <c r="G35">
        <v>1</v>
      </c>
    </row>
    <row r="36" spans="1:7" x14ac:dyDescent="0.35">
      <c r="A36" t="s">
        <v>102</v>
      </c>
      <c r="B36" t="s">
        <v>21</v>
      </c>
      <c r="C36" t="s">
        <v>103</v>
      </c>
      <c r="D36" t="s">
        <v>101</v>
      </c>
      <c r="E36" t="s">
        <v>89</v>
      </c>
      <c r="F36" t="s">
        <v>101</v>
      </c>
      <c r="G36">
        <v>1</v>
      </c>
    </row>
    <row r="37" spans="1:7" x14ac:dyDescent="0.35">
      <c r="A37" t="s">
        <v>104</v>
      </c>
      <c r="B37" t="s">
        <v>21</v>
      </c>
      <c r="C37" t="s">
        <v>105</v>
      </c>
      <c r="D37" t="s">
        <v>101</v>
      </c>
      <c r="E37" t="s">
        <v>89</v>
      </c>
      <c r="F37" t="s">
        <v>101</v>
      </c>
      <c r="G37">
        <v>1</v>
      </c>
    </row>
    <row r="38" spans="1:7" x14ac:dyDescent="0.35">
      <c r="A38" t="s">
        <v>106</v>
      </c>
      <c r="B38" t="s">
        <v>21</v>
      </c>
      <c r="C38" t="s">
        <v>107</v>
      </c>
      <c r="D38" t="s">
        <v>101</v>
      </c>
      <c r="E38" t="s">
        <v>89</v>
      </c>
      <c r="F38" t="s">
        <v>427</v>
      </c>
      <c r="G38">
        <v>3</v>
      </c>
    </row>
    <row r="39" spans="1:7" x14ac:dyDescent="0.35">
      <c r="A39" t="s">
        <v>108</v>
      </c>
      <c r="B39" t="s">
        <v>21</v>
      </c>
      <c r="C39" t="s">
        <v>109</v>
      </c>
      <c r="D39" t="s">
        <v>101</v>
      </c>
      <c r="E39" t="s">
        <v>428</v>
      </c>
      <c r="F39" t="s">
        <v>429</v>
      </c>
      <c r="G39">
        <v>13</v>
      </c>
    </row>
    <row r="40" spans="1:7" x14ac:dyDescent="0.35">
      <c r="A40" t="s">
        <v>113</v>
      </c>
      <c r="B40" t="s">
        <v>21</v>
      </c>
      <c r="C40" t="s">
        <v>114</v>
      </c>
      <c r="D40" t="s">
        <v>112</v>
      </c>
      <c r="E40" t="s">
        <v>430</v>
      </c>
      <c r="F40" t="s">
        <v>431</v>
      </c>
      <c r="G40">
        <v>3</v>
      </c>
    </row>
    <row r="41" spans="1:7" x14ac:dyDescent="0.35">
      <c r="A41" t="s">
        <v>115</v>
      </c>
      <c r="B41" t="s">
        <v>21</v>
      </c>
      <c r="C41" t="s">
        <v>116</v>
      </c>
      <c r="D41" t="s">
        <v>112</v>
      </c>
      <c r="E41" t="s">
        <v>430</v>
      </c>
      <c r="F41" t="s">
        <v>431</v>
      </c>
      <c r="G41">
        <v>3</v>
      </c>
    </row>
    <row r="42" spans="1:7" x14ac:dyDescent="0.35">
      <c r="A42" t="s">
        <v>117</v>
      </c>
      <c r="B42" t="s">
        <v>21</v>
      </c>
      <c r="C42" t="s">
        <v>118</v>
      </c>
      <c r="D42" t="s">
        <v>112</v>
      </c>
      <c r="E42" t="s">
        <v>432</v>
      </c>
      <c r="F42" t="s">
        <v>433</v>
      </c>
      <c r="G42">
        <v>2</v>
      </c>
    </row>
    <row r="43" spans="1:7" x14ac:dyDescent="0.35">
      <c r="A43" t="s">
        <v>119</v>
      </c>
      <c r="B43" t="s">
        <v>21</v>
      </c>
      <c r="C43" t="s">
        <v>120</v>
      </c>
      <c r="D43" t="s">
        <v>112</v>
      </c>
      <c r="E43" t="s">
        <v>430</v>
      </c>
      <c r="F43" t="s">
        <v>431</v>
      </c>
      <c r="G43">
        <v>3</v>
      </c>
    </row>
    <row r="44" spans="1:7" x14ac:dyDescent="0.35">
      <c r="A44" t="s">
        <v>126</v>
      </c>
      <c r="B44" t="s">
        <v>21</v>
      </c>
      <c r="C44" t="s">
        <v>127</v>
      </c>
      <c r="D44" t="s">
        <v>125</v>
      </c>
      <c r="E44" t="s">
        <v>89</v>
      </c>
      <c r="F44" t="s">
        <v>125</v>
      </c>
      <c r="G44">
        <v>1</v>
      </c>
    </row>
    <row r="45" spans="1:7" x14ac:dyDescent="0.35">
      <c r="A45" t="s">
        <v>128</v>
      </c>
      <c r="B45" t="s">
        <v>21</v>
      </c>
      <c r="C45" t="s">
        <v>129</v>
      </c>
      <c r="D45" t="s">
        <v>125</v>
      </c>
      <c r="E45" t="s">
        <v>89</v>
      </c>
      <c r="F45" t="s">
        <v>434</v>
      </c>
      <c r="G45">
        <v>2</v>
      </c>
    </row>
    <row r="46" spans="1:7" x14ac:dyDescent="0.35">
      <c r="A46" t="s">
        <v>130</v>
      </c>
      <c r="B46" t="s">
        <v>21</v>
      </c>
      <c r="C46" t="s">
        <v>131</v>
      </c>
      <c r="D46" t="s">
        <v>125</v>
      </c>
      <c r="E46" t="s">
        <v>89</v>
      </c>
      <c r="F46" t="s">
        <v>434</v>
      </c>
      <c r="G46">
        <v>2</v>
      </c>
    </row>
    <row r="47" spans="1:7" x14ac:dyDescent="0.35">
      <c r="A47" t="s">
        <v>132</v>
      </c>
      <c r="B47" t="s">
        <v>21</v>
      </c>
      <c r="C47" t="s">
        <v>133</v>
      </c>
      <c r="D47" t="s">
        <v>125</v>
      </c>
      <c r="E47" t="s">
        <v>89</v>
      </c>
      <c r="F47" t="s">
        <v>434</v>
      </c>
      <c r="G47">
        <v>2</v>
      </c>
    </row>
    <row r="48" spans="1:7" x14ac:dyDescent="0.35">
      <c r="A48" t="s">
        <v>134</v>
      </c>
      <c r="B48" t="s">
        <v>21</v>
      </c>
      <c r="C48" t="s">
        <v>135</v>
      </c>
      <c r="D48" t="s">
        <v>125</v>
      </c>
      <c r="E48" t="s">
        <v>89</v>
      </c>
      <c r="F48" t="s">
        <v>125</v>
      </c>
      <c r="G48">
        <v>1</v>
      </c>
    </row>
    <row r="49" spans="1:7" x14ac:dyDescent="0.35">
      <c r="A49" t="s">
        <v>152</v>
      </c>
      <c r="B49" t="s">
        <v>21</v>
      </c>
      <c r="C49" t="s">
        <v>153</v>
      </c>
      <c r="D49" t="s">
        <v>151</v>
      </c>
      <c r="E49" t="s">
        <v>145</v>
      </c>
      <c r="F49" t="s">
        <v>151</v>
      </c>
      <c r="G49">
        <v>1</v>
      </c>
    </row>
    <row r="50" spans="1:7" x14ac:dyDescent="0.35">
      <c r="A50" t="s">
        <v>154</v>
      </c>
      <c r="B50" t="s">
        <v>21</v>
      </c>
      <c r="C50" t="s">
        <v>155</v>
      </c>
      <c r="D50" t="s">
        <v>151</v>
      </c>
      <c r="E50" t="s">
        <v>145</v>
      </c>
      <c r="F50" t="s">
        <v>151</v>
      </c>
      <c r="G50">
        <v>1</v>
      </c>
    </row>
    <row r="51" spans="1:7" x14ac:dyDescent="0.35">
      <c r="A51" t="s">
        <v>156</v>
      </c>
      <c r="B51" t="s">
        <v>21</v>
      </c>
      <c r="C51" t="s">
        <v>157</v>
      </c>
      <c r="D51" t="s">
        <v>151</v>
      </c>
      <c r="E51" t="s">
        <v>145</v>
      </c>
      <c r="F51" t="s">
        <v>151</v>
      </c>
      <c r="G51">
        <v>1</v>
      </c>
    </row>
    <row r="52" spans="1:7" x14ac:dyDescent="0.35">
      <c r="A52" t="s">
        <v>158</v>
      </c>
      <c r="B52" t="s">
        <v>21</v>
      </c>
      <c r="C52" t="s">
        <v>159</v>
      </c>
      <c r="D52" t="s">
        <v>151</v>
      </c>
      <c r="E52" t="s">
        <v>145</v>
      </c>
      <c r="F52" t="s">
        <v>151</v>
      </c>
      <c r="G52">
        <v>1</v>
      </c>
    </row>
    <row r="53" spans="1:7" x14ac:dyDescent="0.35">
      <c r="A53" t="s">
        <v>166</v>
      </c>
      <c r="B53" t="s">
        <v>21</v>
      </c>
      <c r="C53" t="s">
        <v>167</v>
      </c>
      <c r="D53" t="s">
        <v>164</v>
      </c>
      <c r="E53" t="s">
        <v>165</v>
      </c>
      <c r="F53" t="s">
        <v>164</v>
      </c>
      <c r="G53">
        <v>1</v>
      </c>
    </row>
    <row r="54" spans="1:7" x14ac:dyDescent="0.35">
      <c r="A54" t="s">
        <v>174</v>
      </c>
      <c r="B54" t="s">
        <v>21</v>
      </c>
      <c r="C54" t="s">
        <v>175</v>
      </c>
      <c r="D54" t="s">
        <v>172</v>
      </c>
      <c r="E54" t="s">
        <v>173</v>
      </c>
      <c r="F54" t="s">
        <v>172</v>
      </c>
      <c r="G54">
        <v>1</v>
      </c>
    </row>
    <row r="55" spans="1:7" x14ac:dyDescent="0.35">
      <c r="A55" t="s">
        <v>187</v>
      </c>
      <c r="B55" t="s">
        <v>21</v>
      </c>
      <c r="C55" t="s">
        <v>188</v>
      </c>
      <c r="D55" t="s">
        <v>185</v>
      </c>
      <c r="E55" t="s">
        <v>186</v>
      </c>
      <c r="F55" t="s">
        <v>185</v>
      </c>
      <c r="G55">
        <v>1</v>
      </c>
    </row>
    <row r="56" spans="1:7" x14ac:dyDescent="0.35">
      <c r="A56" t="s">
        <v>189</v>
      </c>
      <c r="B56" t="s">
        <v>21</v>
      </c>
      <c r="C56" t="s">
        <v>190</v>
      </c>
      <c r="D56" t="s">
        <v>185</v>
      </c>
      <c r="E56" t="s">
        <v>435</v>
      </c>
      <c r="F56" t="s">
        <v>436</v>
      </c>
      <c r="G56">
        <v>3</v>
      </c>
    </row>
    <row r="57" spans="1:7" x14ac:dyDescent="0.35">
      <c r="A57" t="s">
        <v>191</v>
      </c>
      <c r="B57" t="s">
        <v>21</v>
      </c>
      <c r="C57" t="s">
        <v>192</v>
      </c>
      <c r="D57" t="s">
        <v>185</v>
      </c>
      <c r="E57" t="s">
        <v>186</v>
      </c>
      <c r="F57" t="s">
        <v>185</v>
      </c>
      <c r="G57">
        <v>1</v>
      </c>
    </row>
    <row r="58" spans="1:7" x14ac:dyDescent="0.35">
      <c r="A58" t="s">
        <v>193</v>
      </c>
      <c r="B58" t="s">
        <v>21</v>
      </c>
      <c r="C58" t="s">
        <v>194</v>
      </c>
      <c r="D58" t="s">
        <v>185</v>
      </c>
      <c r="E58" t="s">
        <v>186</v>
      </c>
      <c r="F58" t="s">
        <v>437</v>
      </c>
      <c r="G58">
        <v>2</v>
      </c>
    </row>
    <row r="59" spans="1:7" x14ac:dyDescent="0.35">
      <c r="A59" t="s">
        <v>204</v>
      </c>
      <c r="B59" t="s">
        <v>21</v>
      </c>
      <c r="C59" t="s">
        <v>205</v>
      </c>
      <c r="D59" t="s">
        <v>201</v>
      </c>
      <c r="E59" t="s">
        <v>198</v>
      </c>
      <c r="F59" t="s">
        <v>201</v>
      </c>
      <c r="G59">
        <v>1</v>
      </c>
    </row>
    <row r="60" spans="1:7" x14ac:dyDescent="0.35">
      <c r="A60" t="s">
        <v>211</v>
      </c>
      <c r="B60" t="s">
        <v>21</v>
      </c>
      <c r="C60" t="s">
        <v>212</v>
      </c>
      <c r="D60" t="s">
        <v>210</v>
      </c>
      <c r="E60" t="s">
        <v>198</v>
      </c>
      <c r="F60" t="s">
        <v>210</v>
      </c>
      <c r="G60">
        <v>1</v>
      </c>
    </row>
    <row r="61" spans="1:7" x14ac:dyDescent="0.35">
      <c r="A61" t="s">
        <v>214</v>
      </c>
      <c r="B61" t="s">
        <v>21</v>
      </c>
      <c r="C61" t="s">
        <v>215</v>
      </c>
      <c r="D61" t="s">
        <v>213</v>
      </c>
      <c r="E61" t="s">
        <v>198</v>
      </c>
      <c r="F61" t="s">
        <v>213</v>
      </c>
      <c r="G61">
        <v>1</v>
      </c>
    </row>
    <row r="62" spans="1:7" x14ac:dyDescent="0.35">
      <c r="A62" t="s">
        <v>217</v>
      </c>
      <c r="B62" t="s">
        <v>21</v>
      </c>
      <c r="C62" t="s">
        <v>218</v>
      </c>
      <c r="D62" t="s">
        <v>216</v>
      </c>
      <c r="E62" t="s">
        <v>198</v>
      </c>
      <c r="F62" t="s">
        <v>216</v>
      </c>
      <c r="G62">
        <v>1</v>
      </c>
    </row>
    <row r="63" spans="1:7" x14ac:dyDescent="0.35">
      <c r="A63" t="s">
        <v>219</v>
      </c>
      <c r="B63" t="s">
        <v>21</v>
      </c>
      <c r="C63" t="s">
        <v>220</v>
      </c>
      <c r="D63" t="s">
        <v>216</v>
      </c>
      <c r="E63" t="s">
        <v>198</v>
      </c>
      <c r="F63" t="s">
        <v>216</v>
      </c>
      <c r="G63">
        <v>1</v>
      </c>
    </row>
    <row r="64" spans="1:7" x14ac:dyDescent="0.35">
      <c r="A64" t="s">
        <v>221</v>
      </c>
      <c r="B64" t="s">
        <v>21</v>
      </c>
      <c r="C64" t="s">
        <v>222</v>
      </c>
      <c r="D64" t="s">
        <v>216</v>
      </c>
      <c r="E64" t="s">
        <v>198</v>
      </c>
      <c r="F64" t="s">
        <v>216</v>
      </c>
      <c r="G64">
        <v>1</v>
      </c>
    </row>
    <row r="65" spans="1:7" x14ac:dyDescent="0.35">
      <c r="A65" t="s">
        <v>223</v>
      </c>
      <c r="B65" t="s">
        <v>21</v>
      </c>
      <c r="C65" t="s">
        <v>224</v>
      </c>
      <c r="D65" t="s">
        <v>216</v>
      </c>
      <c r="E65" t="s">
        <v>198</v>
      </c>
      <c r="F65" t="s">
        <v>216</v>
      </c>
      <c r="G65">
        <v>1</v>
      </c>
    </row>
    <row r="66" spans="1:7" x14ac:dyDescent="0.35">
      <c r="A66" t="s">
        <v>227</v>
      </c>
      <c r="B66" t="s">
        <v>21</v>
      </c>
      <c r="C66" t="s">
        <v>228</v>
      </c>
      <c r="D66" t="s">
        <v>225</v>
      </c>
      <c r="E66" t="s">
        <v>226</v>
      </c>
      <c r="F66" t="s">
        <v>225</v>
      </c>
      <c r="G66">
        <v>1</v>
      </c>
    </row>
    <row r="67" spans="1:7" x14ac:dyDescent="0.35">
      <c r="A67" t="s">
        <v>260</v>
      </c>
      <c r="B67" t="s">
        <v>21</v>
      </c>
      <c r="C67" t="s">
        <v>261</v>
      </c>
      <c r="D67" t="s">
        <v>258</v>
      </c>
      <c r="E67" t="s">
        <v>8</v>
      </c>
      <c r="F67" t="s">
        <v>258</v>
      </c>
      <c r="G67">
        <v>1</v>
      </c>
    </row>
    <row r="68" spans="1:7" x14ac:dyDescent="0.35">
      <c r="A68" t="s">
        <v>262</v>
      </c>
      <c r="B68" t="s">
        <v>21</v>
      </c>
      <c r="C68" t="s">
        <v>263</v>
      </c>
      <c r="D68" t="s">
        <v>258</v>
      </c>
      <c r="E68" t="s">
        <v>8</v>
      </c>
      <c r="F68" t="s">
        <v>258</v>
      </c>
      <c r="G68">
        <v>1</v>
      </c>
    </row>
    <row r="69" spans="1:7" x14ac:dyDescent="0.35">
      <c r="A69" t="s">
        <v>267</v>
      </c>
      <c r="B69" t="s">
        <v>21</v>
      </c>
      <c r="C69" t="s">
        <v>268</v>
      </c>
      <c r="D69" t="s">
        <v>266</v>
      </c>
      <c r="E69" t="s">
        <v>438</v>
      </c>
      <c r="F69" t="s">
        <v>439</v>
      </c>
      <c r="G69">
        <v>3</v>
      </c>
    </row>
    <row r="70" spans="1:7" x14ac:dyDescent="0.35">
      <c r="A70" t="s">
        <v>269</v>
      </c>
      <c r="B70" t="s">
        <v>21</v>
      </c>
      <c r="C70" t="s">
        <v>270</v>
      </c>
      <c r="D70" t="s">
        <v>266</v>
      </c>
      <c r="E70" t="s">
        <v>165</v>
      </c>
      <c r="F70" t="s">
        <v>266</v>
      </c>
      <c r="G70">
        <v>1</v>
      </c>
    </row>
    <row r="71" spans="1:7" x14ac:dyDescent="0.35">
      <c r="A71" t="s">
        <v>271</v>
      </c>
      <c r="B71" t="s">
        <v>21</v>
      </c>
      <c r="C71" t="s">
        <v>272</v>
      </c>
      <c r="D71" t="s">
        <v>266</v>
      </c>
      <c r="E71" t="s">
        <v>440</v>
      </c>
      <c r="F71" t="s">
        <v>441</v>
      </c>
      <c r="G71">
        <v>2</v>
      </c>
    </row>
    <row r="72" spans="1:7" x14ac:dyDescent="0.35">
      <c r="A72" t="s">
        <v>273</v>
      </c>
      <c r="B72" t="s">
        <v>21</v>
      </c>
      <c r="C72" t="s">
        <v>274</v>
      </c>
      <c r="D72" t="s">
        <v>266</v>
      </c>
      <c r="E72" t="s">
        <v>165</v>
      </c>
      <c r="F72" t="s">
        <v>266</v>
      </c>
      <c r="G72">
        <v>1</v>
      </c>
    </row>
    <row r="73" spans="1:7" x14ac:dyDescent="0.35">
      <c r="A73" t="s">
        <v>280</v>
      </c>
      <c r="B73" t="s">
        <v>21</v>
      </c>
      <c r="C73" t="s">
        <v>281</v>
      </c>
      <c r="D73" t="s">
        <v>279</v>
      </c>
      <c r="E73" t="s">
        <v>173</v>
      </c>
      <c r="F73" t="s">
        <v>279</v>
      </c>
      <c r="G73">
        <v>1</v>
      </c>
    </row>
    <row r="74" spans="1:7" x14ac:dyDescent="0.35">
      <c r="A74" t="s">
        <v>282</v>
      </c>
      <c r="B74" t="s">
        <v>21</v>
      </c>
      <c r="C74" t="s">
        <v>283</v>
      </c>
      <c r="D74" t="s">
        <v>279</v>
      </c>
      <c r="E74" t="s">
        <v>173</v>
      </c>
      <c r="F74" t="s">
        <v>442</v>
      </c>
      <c r="G74">
        <v>2</v>
      </c>
    </row>
    <row r="75" spans="1:7" x14ac:dyDescent="0.35">
      <c r="A75" t="s">
        <v>293</v>
      </c>
      <c r="B75" t="s">
        <v>21</v>
      </c>
      <c r="C75" t="s">
        <v>294</v>
      </c>
      <c r="D75" t="s">
        <v>292</v>
      </c>
      <c r="E75" t="s">
        <v>173</v>
      </c>
      <c r="F75" t="s">
        <v>292</v>
      </c>
      <c r="G75">
        <v>1</v>
      </c>
    </row>
    <row r="76" spans="1:7" x14ac:dyDescent="0.35">
      <c r="A76" t="s">
        <v>295</v>
      </c>
      <c r="B76" t="s">
        <v>21</v>
      </c>
      <c r="C76" t="s">
        <v>296</v>
      </c>
      <c r="D76" t="s">
        <v>292</v>
      </c>
      <c r="E76" t="s">
        <v>173</v>
      </c>
      <c r="F76" t="s">
        <v>292</v>
      </c>
      <c r="G76">
        <v>1</v>
      </c>
    </row>
    <row r="77" spans="1:7" x14ac:dyDescent="0.35">
      <c r="A77" t="s">
        <v>297</v>
      </c>
      <c r="B77" t="s">
        <v>21</v>
      </c>
      <c r="C77" t="s">
        <v>298</v>
      </c>
      <c r="D77" t="s">
        <v>292</v>
      </c>
      <c r="E77" t="s">
        <v>173</v>
      </c>
      <c r="F77" t="s">
        <v>292</v>
      </c>
      <c r="G77">
        <v>1</v>
      </c>
    </row>
    <row r="78" spans="1:7" x14ac:dyDescent="0.35">
      <c r="A78" t="s">
        <v>299</v>
      </c>
      <c r="B78" t="s">
        <v>21</v>
      </c>
      <c r="C78" t="s">
        <v>300</v>
      </c>
      <c r="D78" t="s">
        <v>292</v>
      </c>
      <c r="E78" t="s">
        <v>173</v>
      </c>
      <c r="F78" t="s">
        <v>292</v>
      </c>
      <c r="G78">
        <v>1</v>
      </c>
    </row>
    <row r="79" spans="1:7" x14ac:dyDescent="0.35">
      <c r="A79" t="s">
        <v>308</v>
      </c>
      <c r="B79" t="s">
        <v>21</v>
      </c>
      <c r="C79" t="s">
        <v>309</v>
      </c>
      <c r="D79" t="s">
        <v>307</v>
      </c>
      <c r="E79" t="s">
        <v>443</v>
      </c>
      <c r="F79" t="s">
        <v>444</v>
      </c>
      <c r="G79">
        <v>2</v>
      </c>
    </row>
    <row r="80" spans="1:7" x14ac:dyDescent="0.35">
      <c r="A80" t="s">
        <v>310</v>
      </c>
      <c r="B80" t="s">
        <v>21</v>
      </c>
      <c r="C80" t="s">
        <v>311</v>
      </c>
      <c r="D80" t="s">
        <v>307</v>
      </c>
      <c r="E80" t="s">
        <v>186</v>
      </c>
      <c r="F80" t="s">
        <v>307</v>
      </c>
      <c r="G80">
        <v>1</v>
      </c>
    </row>
    <row r="81" spans="1:7" x14ac:dyDescent="0.35">
      <c r="A81" t="s">
        <v>319</v>
      </c>
      <c r="B81" t="s">
        <v>21</v>
      </c>
      <c r="C81" t="s">
        <v>320</v>
      </c>
      <c r="D81" t="s">
        <v>316</v>
      </c>
      <c r="E81" t="s">
        <v>226</v>
      </c>
      <c r="F81" t="s">
        <v>316</v>
      </c>
      <c r="G81">
        <v>1</v>
      </c>
    </row>
    <row r="82" spans="1:7" x14ac:dyDescent="0.35">
      <c r="A82" t="s">
        <v>321</v>
      </c>
      <c r="B82" t="s">
        <v>21</v>
      </c>
      <c r="C82" t="s">
        <v>322</v>
      </c>
      <c r="D82" t="s">
        <v>316</v>
      </c>
      <c r="E82" t="s">
        <v>226</v>
      </c>
      <c r="F82" t="s">
        <v>316</v>
      </c>
      <c r="G82">
        <v>1</v>
      </c>
    </row>
    <row r="83" spans="1:7" x14ac:dyDescent="0.35">
      <c r="A83" t="s">
        <v>327</v>
      </c>
      <c r="B83" t="s">
        <v>21</v>
      </c>
      <c r="C83" t="s">
        <v>328</v>
      </c>
      <c r="D83" t="s">
        <v>326</v>
      </c>
      <c r="E83" t="s">
        <v>36</v>
      </c>
      <c r="F83" t="s">
        <v>326</v>
      </c>
      <c r="G83">
        <v>1</v>
      </c>
    </row>
    <row r="84" spans="1:7" x14ac:dyDescent="0.35">
      <c r="A84" t="s">
        <v>335</v>
      </c>
      <c r="B84" t="s">
        <v>21</v>
      </c>
      <c r="C84" t="s">
        <v>336</v>
      </c>
      <c r="D84" t="s">
        <v>334</v>
      </c>
      <c r="E84" t="s">
        <v>8</v>
      </c>
      <c r="F84" t="s">
        <v>334</v>
      </c>
      <c r="G84">
        <v>1</v>
      </c>
    </row>
    <row r="85" spans="1:7" x14ac:dyDescent="0.35">
      <c r="A85" t="s">
        <v>342</v>
      </c>
      <c r="B85" t="s">
        <v>21</v>
      </c>
      <c r="C85" t="s">
        <v>343</v>
      </c>
      <c r="D85" t="s">
        <v>338</v>
      </c>
      <c r="E85" t="s">
        <v>445</v>
      </c>
      <c r="F85" t="s">
        <v>446</v>
      </c>
      <c r="G85">
        <v>3</v>
      </c>
    </row>
    <row r="86" spans="1:7" x14ac:dyDescent="0.35">
      <c r="A86" t="s">
        <v>348</v>
      </c>
      <c r="B86" t="s">
        <v>21</v>
      </c>
      <c r="C86" t="s">
        <v>349</v>
      </c>
      <c r="D86" t="s">
        <v>347</v>
      </c>
      <c r="E86" t="s">
        <v>62</v>
      </c>
      <c r="F86" t="s">
        <v>347</v>
      </c>
      <c r="G86">
        <v>1</v>
      </c>
    </row>
    <row r="87" spans="1:7" x14ac:dyDescent="0.35">
      <c r="A87" t="s">
        <v>355</v>
      </c>
      <c r="B87" t="s">
        <v>21</v>
      </c>
      <c r="C87" t="s">
        <v>356</v>
      </c>
      <c r="D87" t="s">
        <v>353</v>
      </c>
      <c r="E87" t="s">
        <v>145</v>
      </c>
      <c r="F87" t="s">
        <v>353</v>
      </c>
      <c r="G87">
        <v>1</v>
      </c>
    </row>
    <row r="88" spans="1:7" x14ac:dyDescent="0.35">
      <c r="A88" t="s">
        <v>360</v>
      </c>
      <c r="B88" t="s">
        <v>21</v>
      </c>
      <c r="C88" t="s">
        <v>361</v>
      </c>
      <c r="D88" t="s">
        <v>359</v>
      </c>
      <c r="E88" t="s">
        <v>165</v>
      </c>
      <c r="F88" t="s">
        <v>359</v>
      </c>
      <c r="G88">
        <v>1</v>
      </c>
    </row>
    <row r="89" spans="1:7" x14ac:dyDescent="0.35">
      <c r="A89" t="s">
        <v>369</v>
      </c>
      <c r="B89" t="s">
        <v>21</v>
      </c>
      <c r="C89" t="s">
        <v>370</v>
      </c>
      <c r="D89" t="s">
        <v>368</v>
      </c>
      <c r="E89" t="s">
        <v>226</v>
      </c>
      <c r="F89" t="s">
        <v>368</v>
      </c>
      <c r="G89">
        <v>1</v>
      </c>
    </row>
    <row r="90" spans="1:7" x14ac:dyDescent="0.35">
      <c r="A90" t="s">
        <v>31</v>
      </c>
      <c r="B90" t="s">
        <v>30</v>
      </c>
      <c r="C90" t="s">
        <v>32</v>
      </c>
      <c r="D90" t="s">
        <v>7</v>
      </c>
      <c r="E90" t="s">
        <v>8</v>
      </c>
      <c r="F90" t="s">
        <v>7</v>
      </c>
      <c r="G90">
        <v>1</v>
      </c>
    </row>
    <row r="91" spans="1:7" x14ac:dyDescent="0.35">
      <c r="A91" t="s">
        <v>33</v>
      </c>
      <c r="B91" t="s">
        <v>30</v>
      </c>
      <c r="C91" t="s">
        <v>34</v>
      </c>
      <c r="D91" t="s">
        <v>7</v>
      </c>
      <c r="E91" t="s">
        <v>8</v>
      </c>
      <c r="F91" t="s">
        <v>7</v>
      </c>
      <c r="G91">
        <v>1</v>
      </c>
    </row>
    <row r="92" spans="1:7" x14ac:dyDescent="0.35">
      <c r="A92" t="s">
        <v>48</v>
      </c>
      <c r="B92" t="s">
        <v>30</v>
      </c>
      <c r="C92" t="s">
        <v>49</v>
      </c>
      <c r="D92" t="s">
        <v>35</v>
      </c>
      <c r="E92" t="s">
        <v>36</v>
      </c>
      <c r="F92" t="s">
        <v>35</v>
      </c>
      <c r="G92">
        <v>1</v>
      </c>
    </row>
    <row r="93" spans="1:7" x14ac:dyDescent="0.35">
      <c r="A93" t="s">
        <v>50</v>
      </c>
      <c r="B93" t="s">
        <v>30</v>
      </c>
      <c r="C93" t="s">
        <v>51</v>
      </c>
      <c r="D93" t="s">
        <v>35</v>
      </c>
      <c r="E93" t="s">
        <v>447</v>
      </c>
      <c r="F93" t="s">
        <v>448</v>
      </c>
      <c r="G93">
        <v>24</v>
      </c>
    </row>
    <row r="94" spans="1:7" x14ac:dyDescent="0.35">
      <c r="A94" t="s">
        <v>52</v>
      </c>
      <c r="B94" t="s">
        <v>30</v>
      </c>
      <c r="C94" t="s">
        <v>53</v>
      </c>
      <c r="D94" t="s">
        <v>35</v>
      </c>
      <c r="E94" t="s">
        <v>449</v>
      </c>
      <c r="F94" t="s">
        <v>450</v>
      </c>
      <c r="G94">
        <v>26</v>
      </c>
    </row>
    <row r="95" spans="1:7" x14ac:dyDescent="0.35">
      <c r="A95" t="s">
        <v>54</v>
      </c>
      <c r="B95" t="s">
        <v>30</v>
      </c>
      <c r="C95" t="s">
        <v>55</v>
      </c>
      <c r="D95" t="s">
        <v>35</v>
      </c>
      <c r="E95" t="s">
        <v>398</v>
      </c>
      <c r="F95" t="s">
        <v>451</v>
      </c>
      <c r="G95">
        <v>39</v>
      </c>
    </row>
    <row r="96" spans="1:7" x14ac:dyDescent="0.35">
      <c r="A96" t="s">
        <v>60</v>
      </c>
      <c r="B96" t="s">
        <v>30</v>
      </c>
      <c r="C96" t="s">
        <v>41</v>
      </c>
      <c r="D96" t="s">
        <v>56</v>
      </c>
      <c r="E96" t="s">
        <v>8</v>
      </c>
      <c r="F96" t="s">
        <v>56</v>
      </c>
      <c r="G96">
        <v>1</v>
      </c>
    </row>
    <row r="97" spans="1:7" x14ac:dyDescent="0.35">
      <c r="A97" t="s">
        <v>63</v>
      </c>
      <c r="B97" t="s">
        <v>30</v>
      </c>
      <c r="C97" t="s">
        <v>64</v>
      </c>
      <c r="D97" t="s">
        <v>61</v>
      </c>
      <c r="E97" t="s">
        <v>62</v>
      </c>
      <c r="F97" t="s">
        <v>61</v>
      </c>
      <c r="G97">
        <v>1</v>
      </c>
    </row>
    <row r="98" spans="1:7" x14ac:dyDescent="0.35">
      <c r="A98" t="s">
        <v>65</v>
      </c>
      <c r="B98" t="s">
        <v>30</v>
      </c>
      <c r="C98" t="s">
        <v>66</v>
      </c>
      <c r="D98" t="s">
        <v>61</v>
      </c>
      <c r="E98" t="s">
        <v>62</v>
      </c>
      <c r="F98" t="s">
        <v>61</v>
      </c>
      <c r="G98">
        <v>1</v>
      </c>
    </row>
    <row r="99" spans="1:7" x14ac:dyDescent="0.35">
      <c r="A99" t="s">
        <v>74</v>
      </c>
      <c r="B99" t="s">
        <v>30</v>
      </c>
      <c r="C99" t="s">
        <v>75</v>
      </c>
      <c r="D99" t="s">
        <v>67</v>
      </c>
      <c r="E99" t="s">
        <v>62</v>
      </c>
      <c r="F99" t="s">
        <v>67</v>
      </c>
      <c r="G99">
        <v>1</v>
      </c>
    </row>
    <row r="100" spans="1:7" x14ac:dyDescent="0.35">
      <c r="A100" t="s">
        <v>76</v>
      </c>
      <c r="B100" t="s">
        <v>30</v>
      </c>
      <c r="C100" t="s">
        <v>77</v>
      </c>
      <c r="D100" t="s">
        <v>67</v>
      </c>
      <c r="E100" t="s">
        <v>62</v>
      </c>
      <c r="F100" t="s">
        <v>67</v>
      </c>
      <c r="G100">
        <v>1</v>
      </c>
    </row>
    <row r="101" spans="1:7" x14ac:dyDescent="0.35">
      <c r="A101" t="s">
        <v>81</v>
      </c>
      <c r="B101" t="s">
        <v>30</v>
      </c>
      <c r="C101" t="s">
        <v>82</v>
      </c>
      <c r="D101" t="s">
        <v>78</v>
      </c>
      <c r="E101" t="s">
        <v>62</v>
      </c>
      <c r="F101" t="s">
        <v>78</v>
      </c>
      <c r="G101">
        <v>1</v>
      </c>
    </row>
    <row r="102" spans="1:7" x14ac:dyDescent="0.35">
      <c r="A102" t="s">
        <v>86</v>
      </c>
      <c r="B102" t="s">
        <v>30</v>
      </c>
      <c r="C102" t="s">
        <v>87</v>
      </c>
      <c r="D102" t="s">
        <v>83</v>
      </c>
      <c r="E102" t="s">
        <v>62</v>
      </c>
      <c r="F102" t="s">
        <v>83</v>
      </c>
      <c r="G102">
        <v>1</v>
      </c>
    </row>
    <row r="103" spans="1:7" x14ac:dyDescent="0.35">
      <c r="A103" t="s">
        <v>90</v>
      </c>
      <c r="B103" t="s">
        <v>30</v>
      </c>
      <c r="C103" t="s">
        <v>91</v>
      </c>
      <c r="D103" t="s">
        <v>88</v>
      </c>
      <c r="E103" t="s">
        <v>89</v>
      </c>
      <c r="F103" t="s">
        <v>88</v>
      </c>
      <c r="G103">
        <v>1</v>
      </c>
    </row>
    <row r="104" spans="1:7" x14ac:dyDescent="0.35">
      <c r="A104" t="s">
        <v>95</v>
      </c>
      <c r="B104" t="s">
        <v>30</v>
      </c>
      <c r="C104" t="s">
        <v>96</v>
      </c>
      <c r="D104" t="s">
        <v>92</v>
      </c>
      <c r="E104" t="s">
        <v>89</v>
      </c>
      <c r="F104" t="s">
        <v>92</v>
      </c>
      <c r="G104">
        <v>1</v>
      </c>
    </row>
    <row r="105" spans="1:7" x14ac:dyDescent="0.35">
      <c r="A105" t="s">
        <v>97</v>
      </c>
      <c r="B105" t="s">
        <v>30</v>
      </c>
      <c r="C105" t="s">
        <v>98</v>
      </c>
      <c r="D105" t="s">
        <v>92</v>
      </c>
      <c r="E105" t="s">
        <v>89</v>
      </c>
      <c r="F105" t="s">
        <v>92</v>
      </c>
      <c r="G105">
        <v>1</v>
      </c>
    </row>
    <row r="106" spans="1:7" x14ac:dyDescent="0.35">
      <c r="A106" t="s">
        <v>99</v>
      </c>
      <c r="B106" t="s">
        <v>30</v>
      </c>
      <c r="C106" t="s">
        <v>100</v>
      </c>
      <c r="D106" t="s">
        <v>92</v>
      </c>
      <c r="E106" t="s">
        <v>89</v>
      </c>
      <c r="F106" t="s">
        <v>92</v>
      </c>
      <c r="G106">
        <v>1</v>
      </c>
    </row>
    <row r="107" spans="1:7" x14ac:dyDescent="0.35">
      <c r="A107" t="s">
        <v>110</v>
      </c>
      <c r="B107" t="s">
        <v>30</v>
      </c>
      <c r="C107" t="s">
        <v>111</v>
      </c>
      <c r="D107" t="s">
        <v>101</v>
      </c>
      <c r="E107" t="s">
        <v>89</v>
      </c>
      <c r="F107" t="s">
        <v>101</v>
      </c>
      <c r="G107">
        <v>1</v>
      </c>
    </row>
    <row r="108" spans="1:7" x14ac:dyDescent="0.35">
      <c r="A108" t="s">
        <v>121</v>
      </c>
      <c r="B108" t="s">
        <v>30</v>
      </c>
      <c r="C108" t="s">
        <v>122</v>
      </c>
      <c r="D108" t="s">
        <v>112</v>
      </c>
      <c r="E108" t="s">
        <v>89</v>
      </c>
      <c r="F108" t="s">
        <v>112</v>
      </c>
      <c r="G108">
        <v>1</v>
      </c>
    </row>
    <row r="109" spans="1:7" x14ac:dyDescent="0.35">
      <c r="A109" t="s">
        <v>123</v>
      </c>
      <c r="B109" t="s">
        <v>30</v>
      </c>
      <c r="C109" t="s">
        <v>124</v>
      </c>
      <c r="D109" t="s">
        <v>112</v>
      </c>
      <c r="E109" t="s">
        <v>430</v>
      </c>
      <c r="F109" t="s">
        <v>431</v>
      </c>
      <c r="G109">
        <v>3</v>
      </c>
    </row>
    <row r="110" spans="1:7" x14ac:dyDescent="0.35">
      <c r="A110" t="s">
        <v>136</v>
      </c>
      <c r="B110" t="s">
        <v>30</v>
      </c>
      <c r="C110" t="s">
        <v>137</v>
      </c>
      <c r="D110" t="s">
        <v>125</v>
      </c>
      <c r="E110" t="s">
        <v>89</v>
      </c>
      <c r="F110" t="s">
        <v>125</v>
      </c>
      <c r="G110">
        <v>1</v>
      </c>
    </row>
    <row r="111" spans="1:7" x14ac:dyDescent="0.35">
      <c r="A111" t="s">
        <v>138</v>
      </c>
      <c r="B111" t="s">
        <v>30</v>
      </c>
      <c r="C111" t="s">
        <v>139</v>
      </c>
      <c r="D111" t="s">
        <v>125</v>
      </c>
      <c r="E111" t="s">
        <v>89</v>
      </c>
      <c r="F111" t="s">
        <v>125</v>
      </c>
      <c r="G111">
        <v>1</v>
      </c>
    </row>
    <row r="112" spans="1:7" x14ac:dyDescent="0.35">
      <c r="A112" t="s">
        <v>140</v>
      </c>
      <c r="B112" t="s">
        <v>30</v>
      </c>
      <c r="C112" t="s">
        <v>141</v>
      </c>
      <c r="D112" t="s">
        <v>125</v>
      </c>
      <c r="E112" t="s">
        <v>89</v>
      </c>
      <c r="F112" t="s">
        <v>125</v>
      </c>
      <c r="G112">
        <v>1</v>
      </c>
    </row>
    <row r="113" spans="1:7" x14ac:dyDescent="0.35">
      <c r="A113" t="s">
        <v>142</v>
      </c>
      <c r="B113" t="s">
        <v>30</v>
      </c>
      <c r="C113" t="s">
        <v>143</v>
      </c>
      <c r="D113" t="s">
        <v>125</v>
      </c>
      <c r="E113" t="s">
        <v>89</v>
      </c>
      <c r="F113" t="s">
        <v>125</v>
      </c>
      <c r="G113">
        <v>1</v>
      </c>
    </row>
    <row r="114" spans="1:7" x14ac:dyDescent="0.35">
      <c r="A114" t="s">
        <v>146</v>
      </c>
      <c r="B114" t="s">
        <v>30</v>
      </c>
      <c r="C114" t="s">
        <v>147</v>
      </c>
      <c r="D114" t="s">
        <v>144</v>
      </c>
      <c r="E114" t="s">
        <v>145</v>
      </c>
      <c r="F114" t="s">
        <v>144</v>
      </c>
      <c r="G114">
        <v>1</v>
      </c>
    </row>
    <row r="115" spans="1:7" x14ac:dyDescent="0.35">
      <c r="A115" t="s">
        <v>149</v>
      </c>
      <c r="B115" t="s">
        <v>30</v>
      </c>
      <c r="C115" t="s">
        <v>150</v>
      </c>
      <c r="D115" t="s">
        <v>148</v>
      </c>
      <c r="E115" t="s">
        <v>145</v>
      </c>
      <c r="F115" t="s">
        <v>148</v>
      </c>
      <c r="G115">
        <v>1</v>
      </c>
    </row>
    <row r="116" spans="1:7" x14ac:dyDescent="0.35">
      <c r="A116" t="s">
        <v>160</v>
      </c>
      <c r="B116" t="s">
        <v>30</v>
      </c>
      <c r="C116" t="s">
        <v>161</v>
      </c>
      <c r="D116" t="s">
        <v>151</v>
      </c>
      <c r="E116" t="s">
        <v>145</v>
      </c>
      <c r="F116" t="s">
        <v>151</v>
      </c>
      <c r="G116">
        <v>1</v>
      </c>
    </row>
    <row r="117" spans="1:7" x14ac:dyDescent="0.35">
      <c r="A117" t="s">
        <v>162</v>
      </c>
      <c r="B117" t="s">
        <v>30</v>
      </c>
      <c r="C117" t="s">
        <v>163</v>
      </c>
      <c r="D117" t="s">
        <v>151</v>
      </c>
      <c r="E117" t="s">
        <v>145</v>
      </c>
      <c r="F117" t="s">
        <v>151</v>
      </c>
      <c r="G117">
        <v>1</v>
      </c>
    </row>
    <row r="118" spans="1:7" x14ac:dyDescent="0.35">
      <c r="A118" t="s">
        <v>168</v>
      </c>
      <c r="B118" t="s">
        <v>30</v>
      </c>
      <c r="C118" t="s">
        <v>169</v>
      </c>
      <c r="D118" t="s">
        <v>164</v>
      </c>
      <c r="E118" t="s">
        <v>165</v>
      </c>
      <c r="F118" t="s">
        <v>164</v>
      </c>
      <c r="G118">
        <v>1</v>
      </c>
    </row>
    <row r="119" spans="1:7" x14ac:dyDescent="0.35">
      <c r="A119" t="s">
        <v>170</v>
      </c>
      <c r="B119" t="s">
        <v>30</v>
      </c>
      <c r="C119" t="s">
        <v>171</v>
      </c>
      <c r="D119" t="s">
        <v>164</v>
      </c>
      <c r="E119" t="s">
        <v>165</v>
      </c>
      <c r="F119" t="s">
        <v>164</v>
      </c>
      <c r="G119">
        <v>1</v>
      </c>
    </row>
    <row r="120" spans="1:7" x14ac:dyDescent="0.35">
      <c r="A120" t="s">
        <v>176</v>
      </c>
      <c r="B120" t="s">
        <v>30</v>
      </c>
      <c r="C120" t="s">
        <v>177</v>
      </c>
      <c r="D120" t="s">
        <v>172</v>
      </c>
      <c r="E120" t="s">
        <v>173</v>
      </c>
      <c r="F120" t="s">
        <v>172</v>
      </c>
      <c r="G120">
        <v>1</v>
      </c>
    </row>
    <row r="121" spans="1:7" x14ac:dyDescent="0.35">
      <c r="A121" t="s">
        <v>178</v>
      </c>
      <c r="B121" t="s">
        <v>30</v>
      </c>
      <c r="C121" t="s">
        <v>179</v>
      </c>
      <c r="D121" t="s">
        <v>172</v>
      </c>
      <c r="E121" t="s">
        <v>173</v>
      </c>
      <c r="F121" t="s">
        <v>172</v>
      </c>
      <c r="G121">
        <v>1</v>
      </c>
    </row>
    <row r="122" spans="1:7" x14ac:dyDescent="0.35">
      <c r="A122" t="s">
        <v>181</v>
      </c>
      <c r="B122" t="s">
        <v>30</v>
      </c>
      <c r="C122" t="s">
        <v>182</v>
      </c>
      <c r="D122" t="s">
        <v>180</v>
      </c>
      <c r="E122" t="s">
        <v>173</v>
      </c>
      <c r="F122" t="s">
        <v>180</v>
      </c>
      <c r="G122">
        <v>1</v>
      </c>
    </row>
    <row r="123" spans="1:7" x14ac:dyDescent="0.35">
      <c r="A123" t="s">
        <v>183</v>
      </c>
      <c r="B123" t="s">
        <v>30</v>
      </c>
      <c r="C123" t="s">
        <v>184</v>
      </c>
      <c r="D123" t="s">
        <v>180</v>
      </c>
      <c r="E123" t="s">
        <v>173</v>
      </c>
      <c r="F123" t="s">
        <v>180</v>
      </c>
      <c r="G123">
        <v>1</v>
      </c>
    </row>
    <row r="124" spans="1:7" x14ac:dyDescent="0.35">
      <c r="A124" t="s">
        <v>195</v>
      </c>
      <c r="B124" t="s">
        <v>30</v>
      </c>
      <c r="C124" t="s">
        <v>196</v>
      </c>
      <c r="D124" t="s">
        <v>185</v>
      </c>
      <c r="E124" t="s">
        <v>186</v>
      </c>
      <c r="F124" t="s">
        <v>185</v>
      </c>
      <c r="G124">
        <v>1</v>
      </c>
    </row>
    <row r="125" spans="1:7" x14ac:dyDescent="0.35">
      <c r="A125" t="s">
        <v>199</v>
      </c>
      <c r="B125" t="s">
        <v>30</v>
      </c>
      <c r="C125" t="s">
        <v>200</v>
      </c>
      <c r="D125" t="s">
        <v>197</v>
      </c>
      <c r="E125" t="s">
        <v>198</v>
      </c>
      <c r="F125" t="s">
        <v>197</v>
      </c>
      <c r="G125">
        <v>1</v>
      </c>
    </row>
    <row r="126" spans="1:7" x14ac:dyDescent="0.35">
      <c r="A126" t="s">
        <v>206</v>
      </c>
      <c r="B126" t="s">
        <v>30</v>
      </c>
      <c r="C126" t="s">
        <v>207</v>
      </c>
      <c r="D126" t="s">
        <v>201</v>
      </c>
      <c r="E126" t="s">
        <v>198</v>
      </c>
      <c r="F126" t="s">
        <v>201</v>
      </c>
      <c r="G126">
        <v>1</v>
      </c>
    </row>
    <row r="127" spans="1:7" x14ac:dyDescent="0.35">
      <c r="A127" t="s">
        <v>208</v>
      </c>
      <c r="B127" t="s">
        <v>30</v>
      </c>
      <c r="C127" t="s">
        <v>209</v>
      </c>
      <c r="D127" t="s">
        <v>201</v>
      </c>
      <c r="E127" t="s">
        <v>198</v>
      </c>
      <c r="F127" t="s">
        <v>201</v>
      </c>
      <c r="G127">
        <v>1</v>
      </c>
    </row>
    <row r="128" spans="1:7" x14ac:dyDescent="0.35">
      <c r="A128" t="s">
        <v>229</v>
      </c>
      <c r="B128" t="s">
        <v>30</v>
      </c>
      <c r="C128" t="s">
        <v>230</v>
      </c>
      <c r="D128" t="s">
        <v>225</v>
      </c>
      <c r="E128" t="s">
        <v>226</v>
      </c>
      <c r="F128" t="s">
        <v>225</v>
      </c>
      <c r="G128">
        <v>1</v>
      </c>
    </row>
    <row r="129" spans="1:7" x14ac:dyDescent="0.35">
      <c r="A129" t="s">
        <v>231</v>
      </c>
      <c r="B129" t="s">
        <v>30</v>
      </c>
      <c r="C129" t="s">
        <v>232</v>
      </c>
      <c r="D129" t="s">
        <v>225</v>
      </c>
      <c r="E129" t="s">
        <v>226</v>
      </c>
      <c r="F129" t="s">
        <v>225</v>
      </c>
      <c r="G129">
        <v>1</v>
      </c>
    </row>
    <row r="130" spans="1:7" x14ac:dyDescent="0.35">
      <c r="A130" t="s">
        <v>233</v>
      </c>
      <c r="B130" t="s">
        <v>30</v>
      </c>
      <c r="C130" t="s">
        <v>234</v>
      </c>
      <c r="D130" t="s">
        <v>225</v>
      </c>
      <c r="E130" t="s">
        <v>226</v>
      </c>
      <c r="F130" t="s">
        <v>225</v>
      </c>
      <c r="G130">
        <v>1</v>
      </c>
    </row>
    <row r="131" spans="1:7" x14ac:dyDescent="0.35">
      <c r="A131" t="s">
        <v>235</v>
      </c>
      <c r="B131" t="s">
        <v>30</v>
      </c>
      <c r="C131" t="s">
        <v>236</v>
      </c>
      <c r="D131" t="s">
        <v>225</v>
      </c>
      <c r="E131" t="s">
        <v>226</v>
      </c>
      <c r="F131" t="s">
        <v>225</v>
      </c>
      <c r="G131">
        <v>1</v>
      </c>
    </row>
    <row r="132" spans="1:7" x14ac:dyDescent="0.35">
      <c r="A132" t="s">
        <v>237</v>
      </c>
      <c r="B132" t="s">
        <v>30</v>
      </c>
      <c r="C132" t="s">
        <v>238</v>
      </c>
      <c r="D132" t="s">
        <v>225</v>
      </c>
      <c r="E132" t="s">
        <v>226</v>
      </c>
      <c r="F132" t="s">
        <v>225</v>
      </c>
      <c r="G132">
        <v>1</v>
      </c>
    </row>
    <row r="133" spans="1:7" x14ac:dyDescent="0.35">
      <c r="A133" t="s">
        <v>239</v>
      </c>
      <c r="B133" t="s">
        <v>30</v>
      </c>
      <c r="C133" t="s">
        <v>240</v>
      </c>
      <c r="D133" t="s">
        <v>225</v>
      </c>
      <c r="E133" t="s">
        <v>226</v>
      </c>
      <c r="F133" t="s">
        <v>225</v>
      </c>
      <c r="G133">
        <v>1</v>
      </c>
    </row>
    <row r="134" spans="1:7" x14ac:dyDescent="0.35">
      <c r="A134" t="s">
        <v>241</v>
      </c>
      <c r="B134" t="s">
        <v>30</v>
      </c>
      <c r="C134" t="s">
        <v>242</v>
      </c>
      <c r="D134" t="s">
        <v>225</v>
      </c>
      <c r="E134" t="s">
        <v>226</v>
      </c>
      <c r="F134" t="s">
        <v>225</v>
      </c>
      <c r="G134">
        <v>1</v>
      </c>
    </row>
    <row r="135" spans="1:7" x14ac:dyDescent="0.35">
      <c r="A135" t="s">
        <v>243</v>
      </c>
      <c r="B135" t="s">
        <v>30</v>
      </c>
      <c r="C135" t="s">
        <v>244</v>
      </c>
      <c r="D135" t="s">
        <v>225</v>
      </c>
      <c r="E135" t="s">
        <v>452</v>
      </c>
      <c r="F135" t="s">
        <v>453</v>
      </c>
      <c r="G135">
        <v>10</v>
      </c>
    </row>
    <row r="136" spans="1:7" x14ac:dyDescent="0.35">
      <c r="A136" t="s">
        <v>246</v>
      </c>
      <c r="B136" t="s">
        <v>30</v>
      </c>
      <c r="C136" t="s">
        <v>247</v>
      </c>
      <c r="D136" t="s">
        <v>245</v>
      </c>
      <c r="E136" t="s">
        <v>36</v>
      </c>
      <c r="F136" t="s">
        <v>245</v>
      </c>
      <c r="G136">
        <v>1</v>
      </c>
    </row>
    <row r="137" spans="1:7" x14ac:dyDescent="0.35">
      <c r="A137" t="s">
        <v>252</v>
      </c>
      <c r="B137" t="s">
        <v>30</v>
      </c>
      <c r="C137" t="s">
        <v>253</v>
      </c>
      <c r="D137" t="s">
        <v>248</v>
      </c>
      <c r="E137" t="s">
        <v>8</v>
      </c>
      <c r="F137" t="s">
        <v>248</v>
      </c>
      <c r="G137">
        <v>1</v>
      </c>
    </row>
    <row r="138" spans="1:7" x14ac:dyDescent="0.35">
      <c r="A138" t="s">
        <v>254</v>
      </c>
      <c r="B138" t="s">
        <v>30</v>
      </c>
      <c r="C138" t="s">
        <v>255</v>
      </c>
      <c r="D138" t="s">
        <v>248</v>
      </c>
      <c r="E138" t="s">
        <v>8</v>
      </c>
      <c r="F138" t="s">
        <v>248</v>
      </c>
      <c r="G138">
        <v>1</v>
      </c>
    </row>
    <row r="139" spans="1:7" x14ac:dyDescent="0.35">
      <c r="A139" t="s">
        <v>256</v>
      </c>
      <c r="B139" t="s">
        <v>30</v>
      </c>
      <c r="C139" t="s">
        <v>257</v>
      </c>
      <c r="D139" t="s">
        <v>248</v>
      </c>
      <c r="E139" t="s">
        <v>8</v>
      </c>
      <c r="F139" t="s">
        <v>248</v>
      </c>
      <c r="G139">
        <v>1</v>
      </c>
    </row>
    <row r="140" spans="1:7" x14ac:dyDescent="0.35">
      <c r="A140" t="s">
        <v>264</v>
      </c>
      <c r="B140" t="s">
        <v>30</v>
      </c>
      <c r="C140" t="s">
        <v>265</v>
      </c>
      <c r="D140" t="s">
        <v>258</v>
      </c>
      <c r="E140" t="s">
        <v>8</v>
      </c>
      <c r="F140" t="s">
        <v>258</v>
      </c>
      <c r="G140">
        <v>1</v>
      </c>
    </row>
    <row r="141" spans="1:7" x14ac:dyDescent="0.35">
      <c r="A141" t="s">
        <v>275</v>
      </c>
      <c r="B141" t="s">
        <v>30</v>
      </c>
      <c r="C141" t="s">
        <v>276</v>
      </c>
      <c r="D141" t="s">
        <v>266</v>
      </c>
      <c r="E141" t="s">
        <v>165</v>
      </c>
      <c r="F141" t="s">
        <v>266</v>
      </c>
      <c r="G141">
        <v>1</v>
      </c>
    </row>
    <row r="142" spans="1:7" x14ac:dyDescent="0.35">
      <c r="A142" t="s">
        <v>277</v>
      </c>
      <c r="B142" t="s">
        <v>30</v>
      </c>
      <c r="C142" t="s">
        <v>278</v>
      </c>
      <c r="D142" t="s">
        <v>266</v>
      </c>
      <c r="E142" t="s">
        <v>165</v>
      </c>
      <c r="F142" t="s">
        <v>266</v>
      </c>
      <c r="G142">
        <v>1</v>
      </c>
    </row>
    <row r="143" spans="1:7" x14ac:dyDescent="0.35">
      <c r="A143" t="s">
        <v>284</v>
      </c>
      <c r="B143" t="s">
        <v>30</v>
      </c>
      <c r="C143" t="s">
        <v>285</v>
      </c>
      <c r="D143" t="s">
        <v>279</v>
      </c>
      <c r="E143" t="s">
        <v>173</v>
      </c>
      <c r="F143" t="s">
        <v>279</v>
      </c>
      <c r="G143">
        <v>1</v>
      </c>
    </row>
    <row r="144" spans="1:7" x14ac:dyDescent="0.35">
      <c r="A144" t="s">
        <v>286</v>
      </c>
      <c r="B144" t="s">
        <v>30</v>
      </c>
      <c r="C144" t="s">
        <v>287</v>
      </c>
      <c r="D144" t="s">
        <v>279</v>
      </c>
      <c r="E144" t="s">
        <v>173</v>
      </c>
      <c r="F144" t="s">
        <v>279</v>
      </c>
      <c r="G144">
        <v>1</v>
      </c>
    </row>
    <row r="145" spans="1:7" x14ac:dyDescent="0.35">
      <c r="A145" t="s">
        <v>288</v>
      </c>
      <c r="B145" t="s">
        <v>30</v>
      </c>
      <c r="C145" t="s">
        <v>289</v>
      </c>
      <c r="D145" t="s">
        <v>279</v>
      </c>
      <c r="E145" t="s">
        <v>173</v>
      </c>
      <c r="F145" t="s">
        <v>279</v>
      </c>
      <c r="G145">
        <v>1</v>
      </c>
    </row>
    <row r="146" spans="1:7" x14ac:dyDescent="0.35">
      <c r="A146" t="s">
        <v>290</v>
      </c>
      <c r="B146" t="s">
        <v>30</v>
      </c>
      <c r="C146" t="s">
        <v>291</v>
      </c>
      <c r="D146" t="s">
        <v>279</v>
      </c>
      <c r="E146" t="s">
        <v>173</v>
      </c>
      <c r="F146" t="s">
        <v>454</v>
      </c>
      <c r="G146">
        <v>3</v>
      </c>
    </row>
    <row r="147" spans="1:7" x14ac:dyDescent="0.35">
      <c r="A147" t="s">
        <v>301</v>
      </c>
      <c r="B147" t="s">
        <v>30</v>
      </c>
      <c r="C147" t="s">
        <v>302</v>
      </c>
      <c r="D147" t="s">
        <v>292</v>
      </c>
      <c r="E147" t="s">
        <v>173</v>
      </c>
      <c r="F147" t="s">
        <v>292</v>
      </c>
      <c r="G147">
        <v>1</v>
      </c>
    </row>
    <row r="148" spans="1:7" x14ac:dyDescent="0.35">
      <c r="A148" t="s">
        <v>312</v>
      </c>
      <c r="B148" t="s">
        <v>30</v>
      </c>
      <c r="C148" t="s">
        <v>313</v>
      </c>
      <c r="D148" t="s">
        <v>307</v>
      </c>
      <c r="E148" t="s">
        <v>186</v>
      </c>
      <c r="F148" t="s">
        <v>307</v>
      </c>
      <c r="G148">
        <v>1</v>
      </c>
    </row>
    <row r="149" spans="1:7" x14ac:dyDescent="0.35">
      <c r="A149" t="s">
        <v>323</v>
      </c>
      <c r="B149" t="s">
        <v>30</v>
      </c>
      <c r="C149" t="s">
        <v>324</v>
      </c>
      <c r="D149" t="s">
        <v>316</v>
      </c>
      <c r="E149" t="s">
        <v>226</v>
      </c>
      <c r="F149" t="s">
        <v>316</v>
      </c>
      <c r="G149">
        <v>1</v>
      </c>
    </row>
    <row r="150" spans="1:7" x14ac:dyDescent="0.35">
      <c r="A150" t="s">
        <v>325</v>
      </c>
      <c r="B150" t="s">
        <v>30</v>
      </c>
      <c r="C150" t="s">
        <v>16</v>
      </c>
      <c r="D150" t="s">
        <v>316</v>
      </c>
      <c r="E150" t="s">
        <v>226</v>
      </c>
      <c r="F150" t="s">
        <v>316</v>
      </c>
      <c r="G150">
        <v>1</v>
      </c>
    </row>
    <row r="151" spans="1:7" x14ac:dyDescent="0.35">
      <c r="A151" t="s">
        <v>333</v>
      </c>
      <c r="B151" t="s">
        <v>30</v>
      </c>
      <c r="C151" t="s">
        <v>305</v>
      </c>
      <c r="D151" t="s">
        <v>329</v>
      </c>
      <c r="E151" t="s">
        <v>8</v>
      </c>
      <c r="F151" t="s">
        <v>329</v>
      </c>
      <c r="G151">
        <v>1</v>
      </c>
    </row>
    <row r="152" spans="1:7" x14ac:dyDescent="0.35">
      <c r="A152" t="s">
        <v>337</v>
      </c>
      <c r="B152" t="s">
        <v>30</v>
      </c>
      <c r="C152" t="s">
        <v>251</v>
      </c>
      <c r="D152" t="s">
        <v>334</v>
      </c>
      <c r="E152" t="s">
        <v>8</v>
      </c>
      <c r="F152" t="s">
        <v>334</v>
      </c>
      <c r="G152">
        <v>1</v>
      </c>
    </row>
    <row r="153" spans="1:7" x14ac:dyDescent="0.35">
      <c r="A153" t="s">
        <v>344</v>
      </c>
      <c r="B153" t="s">
        <v>30</v>
      </c>
      <c r="C153" t="s">
        <v>345</v>
      </c>
      <c r="D153" t="s">
        <v>338</v>
      </c>
      <c r="E153" t="s">
        <v>62</v>
      </c>
      <c r="F153" t="s">
        <v>338</v>
      </c>
      <c r="G153">
        <v>1</v>
      </c>
    </row>
    <row r="154" spans="1:7" x14ac:dyDescent="0.35">
      <c r="A154" t="s">
        <v>346</v>
      </c>
      <c r="B154" t="s">
        <v>30</v>
      </c>
      <c r="C154" t="s">
        <v>332</v>
      </c>
      <c r="D154" t="s">
        <v>338</v>
      </c>
      <c r="E154" t="s">
        <v>455</v>
      </c>
      <c r="F154" t="s">
        <v>456</v>
      </c>
      <c r="G154">
        <v>10</v>
      </c>
    </row>
    <row r="155" spans="1:7" x14ac:dyDescent="0.35">
      <c r="A155" t="s">
        <v>351</v>
      </c>
      <c r="B155" t="s">
        <v>30</v>
      </c>
      <c r="C155" t="s">
        <v>352</v>
      </c>
      <c r="D155" t="s">
        <v>350</v>
      </c>
      <c r="E155" t="s">
        <v>89</v>
      </c>
      <c r="F155" t="s">
        <v>350</v>
      </c>
      <c r="G155">
        <v>1</v>
      </c>
    </row>
    <row r="156" spans="1:7" x14ac:dyDescent="0.35">
      <c r="A156" t="s">
        <v>357</v>
      </c>
      <c r="B156" t="s">
        <v>30</v>
      </c>
      <c r="C156" t="s">
        <v>358</v>
      </c>
      <c r="D156" t="s">
        <v>353</v>
      </c>
      <c r="E156" t="s">
        <v>145</v>
      </c>
      <c r="F156" t="s">
        <v>353</v>
      </c>
      <c r="G156">
        <v>1</v>
      </c>
    </row>
    <row r="157" spans="1:7" x14ac:dyDescent="0.35">
      <c r="A157" t="s">
        <v>362</v>
      </c>
      <c r="B157" t="s">
        <v>30</v>
      </c>
      <c r="C157" t="s">
        <v>363</v>
      </c>
      <c r="D157" t="s">
        <v>359</v>
      </c>
      <c r="E157" t="s">
        <v>165</v>
      </c>
      <c r="F157" t="s">
        <v>359</v>
      </c>
      <c r="G157">
        <v>1</v>
      </c>
    </row>
    <row r="158" spans="1:7" x14ac:dyDescent="0.35">
      <c r="A158" t="s">
        <v>364</v>
      </c>
      <c r="B158" t="s">
        <v>30</v>
      </c>
      <c r="C158" t="s">
        <v>340</v>
      </c>
      <c r="D158" t="s">
        <v>359</v>
      </c>
      <c r="E158" t="s">
        <v>165</v>
      </c>
      <c r="F158" t="s">
        <v>359</v>
      </c>
      <c r="G158">
        <v>1</v>
      </c>
    </row>
    <row r="159" spans="1:7" x14ac:dyDescent="0.35">
      <c r="A159" t="s">
        <v>371</v>
      </c>
      <c r="B159" t="s">
        <v>30</v>
      </c>
      <c r="C159" t="s">
        <v>372</v>
      </c>
      <c r="D159" t="s">
        <v>368</v>
      </c>
      <c r="E159" t="s">
        <v>226</v>
      </c>
      <c r="F159" t="s">
        <v>368</v>
      </c>
      <c r="G159">
        <v>1</v>
      </c>
    </row>
    <row r="160" spans="1:7" x14ac:dyDescent="0.35">
      <c r="A160" t="s">
        <v>373</v>
      </c>
      <c r="B160" t="s">
        <v>30</v>
      </c>
      <c r="C160" t="s">
        <v>374</v>
      </c>
      <c r="D160" t="s">
        <v>368</v>
      </c>
      <c r="E160" t="s">
        <v>226</v>
      </c>
      <c r="F160" t="s">
        <v>368</v>
      </c>
      <c r="G160">
        <v>1</v>
      </c>
    </row>
    <row r="161" spans="1:7" x14ac:dyDescent="0.35">
      <c r="A161" t="s">
        <v>379</v>
      </c>
      <c r="B161" t="s">
        <v>30</v>
      </c>
      <c r="C161" t="s">
        <v>380</v>
      </c>
      <c r="D161" t="s">
        <v>376</v>
      </c>
      <c r="E161" t="s">
        <v>8</v>
      </c>
      <c r="F161" t="s">
        <v>376</v>
      </c>
      <c r="G161">
        <v>1</v>
      </c>
    </row>
    <row r="162" spans="1:7" x14ac:dyDescent="0.35">
      <c r="A162" t="s">
        <v>381</v>
      </c>
      <c r="B162" t="s">
        <v>30</v>
      </c>
      <c r="C162" t="s">
        <v>382</v>
      </c>
      <c r="D162" t="s">
        <v>376</v>
      </c>
      <c r="E162" t="s">
        <v>8</v>
      </c>
      <c r="F162" t="s">
        <v>376</v>
      </c>
      <c r="G162">
        <v>1</v>
      </c>
    </row>
  </sheetData>
  <pageMargins left="0.7" right="0.7" top="0.75" bottom="0.75" header="0.3" footer="0.3"/>
  <ignoredErrors>
    <ignoredError sqref="A1:G16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0"/>
  <sheetViews>
    <sheetView workbookViewId="0"/>
  </sheetViews>
  <sheetFormatPr defaultColWidth="8.83203125" defaultRowHeight="15.5" x14ac:dyDescent="0.35"/>
  <cols>
    <col min="1" max="1" width="20.83203125" customWidth="1"/>
    <col min="2" max="2" width="35.83203125" customWidth="1"/>
    <col min="3" max="3" width="25.83203125" customWidth="1"/>
    <col min="4" max="6" width="12.83203125" customWidth="1"/>
  </cols>
  <sheetData>
    <row r="1" spans="1:6" x14ac:dyDescent="0.35">
      <c r="A1" t="s">
        <v>2</v>
      </c>
      <c r="B1" t="s">
        <v>457</v>
      </c>
      <c r="C1" t="s">
        <v>1</v>
      </c>
      <c r="D1" t="s">
        <v>458</v>
      </c>
      <c r="E1" t="s">
        <v>459</v>
      </c>
      <c r="F1" t="s">
        <v>460</v>
      </c>
    </row>
    <row r="2" spans="1:6" x14ac:dyDescent="0.35">
      <c r="A2" t="s">
        <v>9</v>
      </c>
      <c r="B2" t="s">
        <v>7</v>
      </c>
      <c r="C2" t="s">
        <v>8</v>
      </c>
      <c r="D2">
        <v>5</v>
      </c>
      <c r="E2">
        <v>4</v>
      </c>
      <c r="F2">
        <v>2</v>
      </c>
    </row>
    <row r="3" spans="1:6" x14ac:dyDescent="0.35">
      <c r="A3" t="s">
        <v>9</v>
      </c>
      <c r="B3" t="s">
        <v>35</v>
      </c>
      <c r="C3" t="s">
        <v>36</v>
      </c>
      <c r="D3">
        <v>7</v>
      </c>
      <c r="E3">
        <v>6</v>
      </c>
      <c r="F3">
        <v>4</v>
      </c>
    </row>
    <row r="4" spans="1:6" x14ac:dyDescent="0.35">
      <c r="A4" t="s">
        <v>57</v>
      </c>
      <c r="B4" t="s">
        <v>56</v>
      </c>
      <c r="C4" t="s">
        <v>8</v>
      </c>
      <c r="D4">
        <v>4</v>
      </c>
      <c r="E4">
        <v>4</v>
      </c>
      <c r="F4">
        <v>1</v>
      </c>
    </row>
    <row r="5" spans="1:6" x14ac:dyDescent="0.35">
      <c r="A5" t="s">
        <v>57</v>
      </c>
      <c r="B5" t="s">
        <v>61</v>
      </c>
      <c r="C5" t="s">
        <v>62</v>
      </c>
      <c r="D5">
        <v>4</v>
      </c>
      <c r="E5">
        <v>3</v>
      </c>
      <c r="F5">
        <v>2</v>
      </c>
    </row>
    <row r="6" spans="1:6" x14ac:dyDescent="0.35">
      <c r="A6" t="s">
        <v>57</v>
      </c>
      <c r="B6" t="s">
        <v>67</v>
      </c>
      <c r="C6" t="s">
        <v>62</v>
      </c>
      <c r="D6">
        <v>7</v>
      </c>
      <c r="E6">
        <v>8</v>
      </c>
      <c r="F6">
        <v>2</v>
      </c>
    </row>
    <row r="7" spans="1:6" x14ac:dyDescent="0.35">
      <c r="A7" t="s">
        <v>57</v>
      </c>
      <c r="B7" t="s">
        <v>78</v>
      </c>
      <c r="C7" t="s">
        <v>62</v>
      </c>
      <c r="D7">
        <v>5</v>
      </c>
      <c r="E7">
        <v>5</v>
      </c>
      <c r="F7">
        <v>2</v>
      </c>
    </row>
    <row r="8" spans="1:6" x14ac:dyDescent="0.35">
      <c r="A8" t="s">
        <v>57</v>
      </c>
      <c r="B8" t="s">
        <v>83</v>
      </c>
      <c r="C8" t="s">
        <v>62</v>
      </c>
      <c r="D8">
        <v>4</v>
      </c>
      <c r="E8">
        <v>2</v>
      </c>
      <c r="F8">
        <v>2</v>
      </c>
    </row>
    <row r="9" spans="1:6" x14ac:dyDescent="0.35">
      <c r="A9" t="s">
        <v>57</v>
      </c>
      <c r="B9" t="s">
        <v>88</v>
      </c>
      <c r="C9" t="s">
        <v>89</v>
      </c>
      <c r="D9">
        <v>4</v>
      </c>
      <c r="E9">
        <v>3</v>
      </c>
      <c r="F9">
        <v>1</v>
      </c>
    </row>
    <row r="10" spans="1:6" x14ac:dyDescent="0.35">
      <c r="A10" t="s">
        <v>57</v>
      </c>
      <c r="B10" t="s">
        <v>92</v>
      </c>
      <c r="C10" t="s">
        <v>89</v>
      </c>
      <c r="D10">
        <v>3</v>
      </c>
      <c r="E10">
        <v>4</v>
      </c>
      <c r="F10">
        <v>5</v>
      </c>
    </row>
    <row r="11" spans="1:6" x14ac:dyDescent="0.35">
      <c r="A11" t="s">
        <v>57</v>
      </c>
      <c r="B11" t="s">
        <v>101</v>
      </c>
      <c r="C11" t="s">
        <v>89</v>
      </c>
      <c r="D11">
        <v>4</v>
      </c>
      <c r="E11">
        <v>4</v>
      </c>
      <c r="F11">
        <v>2</v>
      </c>
    </row>
    <row r="12" spans="1:6" x14ac:dyDescent="0.35">
      <c r="A12" t="s">
        <v>57</v>
      </c>
      <c r="B12" t="s">
        <v>112</v>
      </c>
      <c r="C12" t="s">
        <v>89</v>
      </c>
      <c r="D12">
        <v>4</v>
      </c>
      <c r="E12">
        <v>8</v>
      </c>
      <c r="F12">
        <v>3</v>
      </c>
    </row>
    <row r="13" spans="1:6" x14ac:dyDescent="0.35">
      <c r="A13" t="s">
        <v>57</v>
      </c>
      <c r="B13" t="s">
        <v>125</v>
      </c>
      <c r="C13" t="s">
        <v>89</v>
      </c>
      <c r="D13">
        <v>5</v>
      </c>
      <c r="E13">
        <v>8</v>
      </c>
      <c r="F13">
        <v>7</v>
      </c>
    </row>
    <row r="14" spans="1:6" x14ac:dyDescent="0.35">
      <c r="A14" t="s">
        <v>57</v>
      </c>
      <c r="B14" t="s">
        <v>144</v>
      </c>
      <c r="C14" t="s">
        <v>145</v>
      </c>
      <c r="D14">
        <v>4</v>
      </c>
      <c r="E14">
        <v>3</v>
      </c>
      <c r="F14">
        <v>1</v>
      </c>
    </row>
    <row r="15" spans="1:6" x14ac:dyDescent="0.35">
      <c r="A15" t="s">
        <v>57</v>
      </c>
      <c r="B15" t="s">
        <v>148</v>
      </c>
      <c r="C15" t="s">
        <v>145</v>
      </c>
      <c r="D15">
        <v>4</v>
      </c>
      <c r="E15">
        <v>8</v>
      </c>
      <c r="F15">
        <v>3</v>
      </c>
    </row>
    <row r="16" spans="1:6" x14ac:dyDescent="0.35">
      <c r="A16" t="s">
        <v>57</v>
      </c>
      <c r="B16" t="s">
        <v>151</v>
      </c>
      <c r="C16" t="s">
        <v>145</v>
      </c>
      <c r="D16">
        <v>6</v>
      </c>
      <c r="E16">
        <v>6</v>
      </c>
      <c r="F16">
        <v>3</v>
      </c>
    </row>
    <row r="17" spans="1:6" x14ac:dyDescent="0.35">
      <c r="A17" t="s">
        <v>57</v>
      </c>
      <c r="B17" t="s">
        <v>164</v>
      </c>
      <c r="C17" t="s">
        <v>165</v>
      </c>
      <c r="D17">
        <v>5</v>
      </c>
      <c r="E17">
        <v>7</v>
      </c>
      <c r="F17">
        <v>4</v>
      </c>
    </row>
    <row r="18" spans="1:6" x14ac:dyDescent="0.35">
      <c r="A18" t="s">
        <v>57</v>
      </c>
      <c r="B18" t="s">
        <v>172</v>
      </c>
      <c r="C18" t="s">
        <v>173</v>
      </c>
      <c r="D18">
        <v>5</v>
      </c>
      <c r="E18">
        <v>4</v>
      </c>
      <c r="F18">
        <v>3</v>
      </c>
    </row>
    <row r="19" spans="1:6" x14ac:dyDescent="0.35">
      <c r="A19" t="s">
        <v>57</v>
      </c>
      <c r="B19" t="s">
        <v>180</v>
      </c>
      <c r="C19" t="s">
        <v>173</v>
      </c>
      <c r="D19">
        <v>4</v>
      </c>
      <c r="E19">
        <v>7</v>
      </c>
      <c r="F19">
        <v>4</v>
      </c>
    </row>
    <row r="20" spans="1:6" x14ac:dyDescent="0.35">
      <c r="A20" t="s">
        <v>57</v>
      </c>
      <c r="B20" t="s">
        <v>185</v>
      </c>
      <c r="C20" t="s">
        <v>186</v>
      </c>
      <c r="D20">
        <v>5</v>
      </c>
      <c r="E20">
        <v>8</v>
      </c>
      <c r="F20">
        <v>3</v>
      </c>
    </row>
    <row r="21" spans="1:6" x14ac:dyDescent="0.35">
      <c r="A21" t="s">
        <v>57</v>
      </c>
      <c r="B21" t="s">
        <v>197</v>
      </c>
      <c r="C21" t="s">
        <v>198</v>
      </c>
      <c r="D21">
        <v>5</v>
      </c>
      <c r="E21">
        <v>3</v>
      </c>
      <c r="F21">
        <v>1</v>
      </c>
    </row>
    <row r="22" spans="1:6" x14ac:dyDescent="0.35">
      <c r="A22" t="s">
        <v>57</v>
      </c>
      <c r="B22" t="s">
        <v>201</v>
      </c>
      <c r="C22" t="s">
        <v>198</v>
      </c>
      <c r="D22">
        <v>6</v>
      </c>
      <c r="E22">
        <v>6</v>
      </c>
      <c r="F22">
        <v>3</v>
      </c>
    </row>
    <row r="23" spans="1:6" x14ac:dyDescent="0.35">
      <c r="A23" t="s">
        <v>57</v>
      </c>
      <c r="B23" t="s">
        <v>210</v>
      </c>
      <c r="C23" t="s">
        <v>198</v>
      </c>
      <c r="D23">
        <v>4</v>
      </c>
      <c r="E23">
        <v>7</v>
      </c>
      <c r="F23">
        <v>1</v>
      </c>
    </row>
    <row r="24" spans="1:6" x14ac:dyDescent="0.35">
      <c r="A24" t="s">
        <v>57</v>
      </c>
      <c r="B24" t="s">
        <v>213</v>
      </c>
      <c r="C24" t="s">
        <v>198</v>
      </c>
      <c r="D24">
        <v>4</v>
      </c>
      <c r="E24">
        <v>5</v>
      </c>
      <c r="F24">
        <v>1</v>
      </c>
    </row>
    <row r="25" spans="1:6" x14ac:dyDescent="0.35">
      <c r="A25" t="s">
        <v>57</v>
      </c>
      <c r="B25" t="s">
        <v>216</v>
      </c>
      <c r="C25" t="s">
        <v>198</v>
      </c>
      <c r="D25">
        <v>4</v>
      </c>
      <c r="E25">
        <v>9</v>
      </c>
      <c r="F25">
        <v>3</v>
      </c>
    </row>
    <row r="26" spans="1:6" x14ac:dyDescent="0.35">
      <c r="A26" t="s">
        <v>57</v>
      </c>
      <c r="B26" t="s">
        <v>225</v>
      </c>
      <c r="C26" t="s">
        <v>226</v>
      </c>
      <c r="D26">
        <v>6</v>
      </c>
      <c r="E26">
        <v>5</v>
      </c>
      <c r="F26">
        <v>10</v>
      </c>
    </row>
    <row r="27" spans="1:6" x14ac:dyDescent="0.35">
      <c r="A27" t="s">
        <v>57</v>
      </c>
      <c r="B27" t="s">
        <v>245</v>
      </c>
      <c r="C27" t="s">
        <v>36</v>
      </c>
      <c r="D27">
        <v>6</v>
      </c>
      <c r="E27">
        <v>6</v>
      </c>
      <c r="F27">
        <v>1</v>
      </c>
    </row>
    <row r="28" spans="1:6" x14ac:dyDescent="0.35">
      <c r="A28" t="s">
        <v>249</v>
      </c>
      <c r="B28" t="s">
        <v>248</v>
      </c>
      <c r="C28" t="s">
        <v>8</v>
      </c>
      <c r="D28">
        <v>5</v>
      </c>
      <c r="E28">
        <v>3</v>
      </c>
      <c r="F28">
        <v>7</v>
      </c>
    </row>
    <row r="29" spans="1:6" x14ac:dyDescent="0.35">
      <c r="A29" t="s">
        <v>249</v>
      </c>
      <c r="B29" t="s">
        <v>258</v>
      </c>
      <c r="C29" t="s">
        <v>8</v>
      </c>
      <c r="D29">
        <v>5</v>
      </c>
      <c r="E29">
        <v>4</v>
      </c>
      <c r="F29">
        <v>3</v>
      </c>
    </row>
    <row r="30" spans="1:6" x14ac:dyDescent="0.35">
      <c r="A30" t="s">
        <v>249</v>
      </c>
      <c r="B30" t="s">
        <v>266</v>
      </c>
      <c r="C30" t="s">
        <v>165</v>
      </c>
      <c r="D30">
        <v>3</v>
      </c>
      <c r="E30">
        <v>8</v>
      </c>
      <c r="F30">
        <v>5</v>
      </c>
    </row>
    <row r="31" spans="1:6" x14ac:dyDescent="0.35">
      <c r="A31" t="s">
        <v>249</v>
      </c>
      <c r="B31" t="s">
        <v>279</v>
      </c>
      <c r="C31" t="s">
        <v>173</v>
      </c>
      <c r="D31">
        <v>4</v>
      </c>
      <c r="E31">
        <v>4</v>
      </c>
      <c r="F31">
        <v>8</v>
      </c>
    </row>
    <row r="32" spans="1:6" x14ac:dyDescent="0.35">
      <c r="A32" t="s">
        <v>249</v>
      </c>
      <c r="B32" t="s">
        <v>292</v>
      </c>
      <c r="C32" t="s">
        <v>173</v>
      </c>
      <c r="D32">
        <v>4</v>
      </c>
      <c r="E32">
        <v>8</v>
      </c>
      <c r="F32">
        <v>6</v>
      </c>
    </row>
    <row r="33" spans="1:6" x14ac:dyDescent="0.35">
      <c r="A33" t="s">
        <v>249</v>
      </c>
      <c r="B33" t="s">
        <v>303</v>
      </c>
      <c r="C33" t="s">
        <v>173</v>
      </c>
      <c r="D33">
        <v>6</v>
      </c>
      <c r="E33">
        <v>2</v>
      </c>
      <c r="F33">
        <v>4</v>
      </c>
    </row>
    <row r="34" spans="1:6" x14ac:dyDescent="0.35">
      <c r="A34" t="s">
        <v>249</v>
      </c>
      <c r="B34" t="s">
        <v>307</v>
      </c>
      <c r="C34" t="s">
        <v>186</v>
      </c>
      <c r="D34">
        <v>5</v>
      </c>
      <c r="E34">
        <v>7</v>
      </c>
      <c r="F34">
        <v>4</v>
      </c>
    </row>
    <row r="35" spans="1:6" x14ac:dyDescent="0.35">
      <c r="A35" t="s">
        <v>249</v>
      </c>
      <c r="B35" t="s">
        <v>314</v>
      </c>
      <c r="C35" t="s">
        <v>198</v>
      </c>
      <c r="D35">
        <v>3</v>
      </c>
      <c r="E35">
        <v>3</v>
      </c>
      <c r="F35">
        <v>2</v>
      </c>
    </row>
    <row r="36" spans="1:6" x14ac:dyDescent="0.35">
      <c r="A36" t="s">
        <v>249</v>
      </c>
      <c r="B36" t="s">
        <v>316</v>
      </c>
      <c r="C36" t="s">
        <v>226</v>
      </c>
      <c r="D36">
        <v>6</v>
      </c>
      <c r="E36">
        <v>5</v>
      </c>
      <c r="F36">
        <v>6</v>
      </c>
    </row>
    <row r="37" spans="1:6" x14ac:dyDescent="0.35">
      <c r="A37" t="s">
        <v>249</v>
      </c>
      <c r="B37" t="s">
        <v>326</v>
      </c>
      <c r="C37" t="s">
        <v>36</v>
      </c>
      <c r="D37">
        <v>5</v>
      </c>
      <c r="E37">
        <v>5</v>
      </c>
      <c r="F37">
        <v>4</v>
      </c>
    </row>
    <row r="38" spans="1:6" x14ac:dyDescent="0.35">
      <c r="A38" t="s">
        <v>330</v>
      </c>
      <c r="B38" t="s">
        <v>329</v>
      </c>
      <c r="C38" t="s">
        <v>8</v>
      </c>
      <c r="D38">
        <v>6</v>
      </c>
      <c r="E38">
        <v>4</v>
      </c>
      <c r="F38">
        <v>4</v>
      </c>
    </row>
    <row r="39" spans="1:6" x14ac:dyDescent="0.35">
      <c r="A39" t="s">
        <v>330</v>
      </c>
      <c r="B39" t="s">
        <v>334</v>
      </c>
      <c r="C39" t="s">
        <v>8</v>
      </c>
      <c r="D39">
        <v>6</v>
      </c>
      <c r="E39">
        <v>5</v>
      </c>
      <c r="F39">
        <v>3</v>
      </c>
    </row>
    <row r="40" spans="1:6" x14ac:dyDescent="0.35">
      <c r="A40" t="s">
        <v>330</v>
      </c>
      <c r="B40" t="s">
        <v>338</v>
      </c>
      <c r="C40" t="s">
        <v>62</v>
      </c>
      <c r="D40">
        <v>4</v>
      </c>
      <c r="E40">
        <v>2</v>
      </c>
      <c r="F40">
        <v>4</v>
      </c>
    </row>
    <row r="41" spans="1:6" x14ac:dyDescent="0.35">
      <c r="A41" t="s">
        <v>330</v>
      </c>
      <c r="B41" t="s">
        <v>347</v>
      </c>
      <c r="C41" t="s">
        <v>62</v>
      </c>
      <c r="D41">
        <v>4</v>
      </c>
      <c r="E41">
        <v>2</v>
      </c>
      <c r="F41">
        <v>4</v>
      </c>
    </row>
    <row r="42" spans="1:6" x14ac:dyDescent="0.35">
      <c r="A42" t="s">
        <v>330</v>
      </c>
      <c r="B42" t="s">
        <v>350</v>
      </c>
      <c r="C42" t="s">
        <v>89</v>
      </c>
      <c r="D42">
        <v>4</v>
      </c>
      <c r="E42">
        <v>6</v>
      </c>
      <c r="F42">
        <v>5</v>
      </c>
    </row>
    <row r="43" spans="1:6" x14ac:dyDescent="0.35">
      <c r="A43" t="s">
        <v>330</v>
      </c>
      <c r="B43" t="s">
        <v>353</v>
      </c>
      <c r="C43" t="s">
        <v>145</v>
      </c>
      <c r="D43">
        <v>5</v>
      </c>
      <c r="E43">
        <v>4</v>
      </c>
      <c r="F43">
        <v>5</v>
      </c>
    </row>
    <row r="44" spans="1:6" x14ac:dyDescent="0.35">
      <c r="A44" t="s">
        <v>330</v>
      </c>
      <c r="B44" t="s">
        <v>359</v>
      </c>
      <c r="C44" t="s">
        <v>165</v>
      </c>
      <c r="D44">
        <v>7</v>
      </c>
      <c r="E44">
        <v>6</v>
      </c>
      <c r="F44">
        <v>6</v>
      </c>
    </row>
    <row r="45" spans="1:6" x14ac:dyDescent="0.35">
      <c r="A45" t="s">
        <v>330</v>
      </c>
      <c r="B45" t="s">
        <v>365</v>
      </c>
      <c r="C45" t="s">
        <v>173</v>
      </c>
      <c r="D45">
        <v>5</v>
      </c>
      <c r="E45">
        <v>4</v>
      </c>
      <c r="F45">
        <v>4</v>
      </c>
    </row>
    <row r="46" spans="1:6" x14ac:dyDescent="0.35">
      <c r="A46" t="s">
        <v>330</v>
      </c>
      <c r="B46" t="s">
        <v>366</v>
      </c>
      <c r="C46" t="s">
        <v>186</v>
      </c>
      <c r="D46">
        <v>5</v>
      </c>
      <c r="E46">
        <v>5</v>
      </c>
      <c r="F46">
        <v>4</v>
      </c>
    </row>
    <row r="47" spans="1:6" x14ac:dyDescent="0.35">
      <c r="A47" t="s">
        <v>330</v>
      </c>
      <c r="B47" t="s">
        <v>367</v>
      </c>
      <c r="C47" t="s">
        <v>198</v>
      </c>
      <c r="D47">
        <v>4</v>
      </c>
      <c r="E47">
        <v>3</v>
      </c>
      <c r="F47">
        <v>4</v>
      </c>
    </row>
    <row r="48" spans="1:6" x14ac:dyDescent="0.35">
      <c r="A48" t="s">
        <v>330</v>
      </c>
      <c r="B48" t="s">
        <v>368</v>
      </c>
      <c r="C48" t="s">
        <v>226</v>
      </c>
      <c r="D48">
        <v>8</v>
      </c>
      <c r="E48">
        <v>5</v>
      </c>
      <c r="F48">
        <v>7</v>
      </c>
    </row>
    <row r="49" spans="1:6" x14ac:dyDescent="0.35">
      <c r="A49" t="s">
        <v>330</v>
      </c>
      <c r="B49" t="s">
        <v>375</v>
      </c>
      <c r="C49" t="s">
        <v>36</v>
      </c>
      <c r="D49">
        <v>5</v>
      </c>
      <c r="E49">
        <v>7</v>
      </c>
      <c r="F49">
        <v>4</v>
      </c>
    </row>
    <row r="50" spans="1:6" x14ac:dyDescent="0.35">
      <c r="A50" t="s">
        <v>377</v>
      </c>
      <c r="B50" t="s">
        <v>376</v>
      </c>
      <c r="C50" t="s">
        <v>8</v>
      </c>
      <c r="D50">
        <v>8</v>
      </c>
      <c r="E50">
        <v>3</v>
      </c>
      <c r="F50">
        <v>4</v>
      </c>
    </row>
  </sheetData>
  <pageMargins left="0.7" right="0.7" top="0.75" bottom="0.75" header="0.3" footer="0.3"/>
  <ignoredErrors>
    <ignoredError sqref="A1:F5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3"/>
  <sheetViews>
    <sheetView workbookViewId="0">
      <selection activeCell="E4" sqref="E4"/>
    </sheetView>
  </sheetViews>
  <sheetFormatPr defaultColWidth="8.83203125" defaultRowHeight="15.5" x14ac:dyDescent="0.35"/>
  <cols>
    <col min="1" max="1" width="10.83203125" customWidth="1"/>
    <col min="2" max="2" width="40.83203125" customWidth="1"/>
    <col min="3" max="3" width="60.83203125" customWidth="1"/>
    <col min="4" max="4" width="35.83203125" customWidth="1"/>
    <col min="5" max="5" width="12.83203125" customWidth="1"/>
  </cols>
  <sheetData>
    <row r="1" spans="1:5" x14ac:dyDescent="0.35">
      <c r="A1" t="s">
        <v>461</v>
      </c>
      <c r="B1" t="s">
        <v>462</v>
      </c>
      <c r="C1" t="s">
        <v>463</v>
      </c>
      <c r="D1" t="s">
        <v>387</v>
      </c>
      <c r="E1" t="s">
        <v>6</v>
      </c>
    </row>
    <row r="2" spans="1:5" x14ac:dyDescent="0.35">
      <c r="A2" t="s">
        <v>11</v>
      </c>
      <c r="B2" t="s">
        <v>12</v>
      </c>
      <c r="C2" t="s">
        <v>7</v>
      </c>
      <c r="D2" t="s">
        <v>8</v>
      </c>
      <c r="E2">
        <v>1</v>
      </c>
    </row>
    <row r="3" spans="1:5" x14ac:dyDescent="0.35">
      <c r="A3" t="s">
        <v>13</v>
      </c>
      <c r="B3" t="s">
        <v>14</v>
      </c>
      <c r="C3" t="s">
        <v>7</v>
      </c>
      <c r="D3" t="s">
        <v>8</v>
      </c>
      <c r="E3">
        <v>1</v>
      </c>
    </row>
    <row r="4" spans="1:5" x14ac:dyDescent="0.35">
      <c r="A4" t="s">
        <v>15</v>
      </c>
      <c r="B4" t="s">
        <v>16</v>
      </c>
      <c r="C4" t="s">
        <v>390</v>
      </c>
      <c r="D4" t="s">
        <v>389</v>
      </c>
      <c r="E4">
        <v>11</v>
      </c>
    </row>
    <row r="5" spans="1:5" x14ac:dyDescent="0.35">
      <c r="A5" t="s">
        <v>17</v>
      </c>
      <c r="B5" t="s">
        <v>18</v>
      </c>
      <c r="C5" t="s">
        <v>392</v>
      </c>
      <c r="D5" t="s">
        <v>391</v>
      </c>
      <c r="E5">
        <v>40</v>
      </c>
    </row>
    <row r="6" spans="1:5" x14ac:dyDescent="0.35">
      <c r="A6" t="s">
        <v>19</v>
      </c>
      <c r="B6" t="s">
        <v>20</v>
      </c>
      <c r="C6" t="s">
        <v>393</v>
      </c>
      <c r="D6" t="s">
        <v>391</v>
      </c>
      <c r="E6">
        <v>46</v>
      </c>
    </row>
    <row r="7" spans="1:5" x14ac:dyDescent="0.35">
      <c r="A7" t="s">
        <v>37</v>
      </c>
      <c r="B7" t="s">
        <v>32</v>
      </c>
      <c r="C7" t="s">
        <v>395</v>
      </c>
      <c r="D7" t="s">
        <v>394</v>
      </c>
      <c r="E7">
        <v>14</v>
      </c>
    </row>
    <row r="8" spans="1:5" x14ac:dyDescent="0.35">
      <c r="A8" t="s">
        <v>38</v>
      </c>
      <c r="B8" t="s">
        <v>39</v>
      </c>
      <c r="C8" t="s">
        <v>397</v>
      </c>
      <c r="D8" t="s">
        <v>396</v>
      </c>
      <c r="E8">
        <v>5</v>
      </c>
    </row>
    <row r="9" spans="1:5" x14ac:dyDescent="0.35">
      <c r="A9" t="s">
        <v>40</v>
      </c>
      <c r="B9" t="s">
        <v>41</v>
      </c>
      <c r="C9" t="s">
        <v>399</v>
      </c>
      <c r="D9" t="s">
        <v>398</v>
      </c>
      <c r="E9">
        <v>47</v>
      </c>
    </row>
    <row r="10" spans="1:5" x14ac:dyDescent="0.35">
      <c r="A10" t="s">
        <v>42</v>
      </c>
      <c r="B10" t="s">
        <v>43</v>
      </c>
      <c r="C10" t="s">
        <v>400</v>
      </c>
      <c r="D10" t="s">
        <v>398</v>
      </c>
      <c r="E10">
        <v>43</v>
      </c>
    </row>
    <row r="11" spans="1:5" x14ac:dyDescent="0.35">
      <c r="A11" t="s">
        <v>58</v>
      </c>
      <c r="B11" t="s">
        <v>59</v>
      </c>
      <c r="C11" t="s">
        <v>56</v>
      </c>
      <c r="D11" t="s">
        <v>8</v>
      </c>
      <c r="E11">
        <v>1</v>
      </c>
    </row>
    <row r="12" spans="1:5" x14ac:dyDescent="0.35">
      <c r="A12" t="s">
        <v>202</v>
      </c>
      <c r="B12" t="s">
        <v>203</v>
      </c>
      <c r="C12" t="s">
        <v>402</v>
      </c>
      <c r="D12" t="s">
        <v>401</v>
      </c>
      <c r="E12">
        <v>4</v>
      </c>
    </row>
    <row r="13" spans="1:5" x14ac:dyDescent="0.35">
      <c r="A13" t="s">
        <v>250</v>
      </c>
      <c r="B13" t="s">
        <v>251</v>
      </c>
      <c r="C13" t="s">
        <v>404</v>
      </c>
      <c r="D13" t="s">
        <v>403</v>
      </c>
      <c r="E13">
        <v>3</v>
      </c>
    </row>
    <row r="14" spans="1:5" x14ac:dyDescent="0.35">
      <c r="A14" t="s">
        <v>259</v>
      </c>
      <c r="B14" t="s">
        <v>253</v>
      </c>
      <c r="C14" t="s">
        <v>406</v>
      </c>
      <c r="D14" t="s">
        <v>405</v>
      </c>
      <c r="E14">
        <v>2</v>
      </c>
    </row>
    <row r="15" spans="1:5" x14ac:dyDescent="0.35">
      <c r="A15" t="s">
        <v>304</v>
      </c>
      <c r="B15" t="s">
        <v>305</v>
      </c>
      <c r="C15" t="s">
        <v>408</v>
      </c>
      <c r="D15" t="s">
        <v>407</v>
      </c>
      <c r="E15">
        <v>6</v>
      </c>
    </row>
    <row r="16" spans="1:5" x14ac:dyDescent="0.35">
      <c r="A16" t="s">
        <v>306</v>
      </c>
      <c r="B16" t="s">
        <v>302</v>
      </c>
      <c r="C16" t="s">
        <v>303</v>
      </c>
      <c r="D16" t="s">
        <v>173</v>
      </c>
      <c r="E16">
        <v>1</v>
      </c>
    </row>
    <row r="17" spans="1:5" x14ac:dyDescent="0.35">
      <c r="A17" t="s">
        <v>315</v>
      </c>
      <c r="B17" t="s">
        <v>51</v>
      </c>
      <c r="C17" t="s">
        <v>410</v>
      </c>
      <c r="D17" t="s">
        <v>409</v>
      </c>
      <c r="E17">
        <v>2</v>
      </c>
    </row>
    <row r="18" spans="1:5" x14ac:dyDescent="0.35">
      <c r="A18" t="s">
        <v>317</v>
      </c>
      <c r="B18" t="s">
        <v>318</v>
      </c>
      <c r="C18" t="s">
        <v>316</v>
      </c>
      <c r="D18" t="s">
        <v>226</v>
      </c>
      <c r="E18">
        <v>1</v>
      </c>
    </row>
    <row r="19" spans="1:5" x14ac:dyDescent="0.35">
      <c r="A19" t="s">
        <v>331</v>
      </c>
      <c r="B19" t="s">
        <v>332</v>
      </c>
      <c r="C19" t="s">
        <v>329</v>
      </c>
      <c r="D19" t="s">
        <v>8</v>
      </c>
      <c r="E19">
        <v>1</v>
      </c>
    </row>
    <row r="20" spans="1:5" x14ac:dyDescent="0.35">
      <c r="A20" t="s">
        <v>339</v>
      </c>
      <c r="B20" t="s">
        <v>340</v>
      </c>
      <c r="C20" t="s">
        <v>338</v>
      </c>
      <c r="D20" t="s">
        <v>62</v>
      </c>
      <c r="E20">
        <v>1</v>
      </c>
    </row>
    <row r="21" spans="1:5" x14ac:dyDescent="0.35">
      <c r="A21" t="s">
        <v>341</v>
      </c>
      <c r="B21" t="s">
        <v>255</v>
      </c>
      <c r="C21" t="s">
        <v>412</v>
      </c>
      <c r="D21" t="s">
        <v>411</v>
      </c>
      <c r="E21">
        <v>9</v>
      </c>
    </row>
    <row r="22" spans="1:5" x14ac:dyDescent="0.35">
      <c r="A22" t="s">
        <v>354</v>
      </c>
      <c r="B22" t="s">
        <v>163</v>
      </c>
      <c r="C22" t="s">
        <v>353</v>
      </c>
      <c r="D22" t="s">
        <v>145</v>
      </c>
      <c r="E22">
        <v>1</v>
      </c>
    </row>
    <row r="23" spans="1:5" x14ac:dyDescent="0.35">
      <c r="A23" t="s">
        <v>378</v>
      </c>
      <c r="B23" t="s">
        <v>345</v>
      </c>
      <c r="C23" t="s">
        <v>376</v>
      </c>
      <c r="D23" t="s">
        <v>8</v>
      </c>
      <c r="E23">
        <v>1</v>
      </c>
    </row>
  </sheetData>
  <pageMargins left="0.7" right="0.7" top="0.75" bottom="0.75" header="0.3" footer="0.3"/>
  <ignoredErrors>
    <ignoredError sqref="A1:E2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7"/>
  <sheetViews>
    <sheetView workbookViewId="0">
      <selection activeCell="E2" sqref="E2"/>
    </sheetView>
  </sheetViews>
  <sheetFormatPr defaultColWidth="8.83203125" defaultRowHeight="15.5" x14ac:dyDescent="0.35"/>
  <cols>
    <col min="1" max="1" width="10.83203125" customWidth="1"/>
    <col min="2" max="2" width="40.83203125" customWidth="1"/>
    <col min="3" max="3" width="60.83203125" customWidth="1"/>
    <col min="4" max="4" width="35.83203125" customWidth="1"/>
    <col min="5" max="5" width="12.83203125" customWidth="1"/>
  </cols>
  <sheetData>
    <row r="1" spans="1:5" x14ac:dyDescent="0.35">
      <c r="A1" t="s">
        <v>464</v>
      </c>
      <c r="B1" t="s">
        <v>465</v>
      </c>
      <c r="C1" t="s">
        <v>463</v>
      </c>
      <c r="D1" t="s">
        <v>387</v>
      </c>
      <c r="E1" t="s">
        <v>6</v>
      </c>
    </row>
    <row r="2" spans="1:5" x14ac:dyDescent="0.35">
      <c r="A2" t="s">
        <v>22</v>
      </c>
      <c r="B2" t="s">
        <v>23</v>
      </c>
      <c r="C2" t="s">
        <v>413</v>
      </c>
      <c r="D2" t="s">
        <v>391</v>
      </c>
      <c r="E2">
        <v>36</v>
      </c>
    </row>
    <row r="3" spans="1:5" x14ac:dyDescent="0.35">
      <c r="A3" t="s">
        <v>24</v>
      </c>
      <c r="B3" t="s">
        <v>25</v>
      </c>
      <c r="C3" t="s">
        <v>415</v>
      </c>
      <c r="D3" t="s">
        <v>414</v>
      </c>
      <c r="E3">
        <v>13</v>
      </c>
    </row>
    <row r="4" spans="1:5" x14ac:dyDescent="0.35">
      <c r="A4" t="s">
        <v>26</v>
      </c>
      <c r="B4" t="s">
        <v>27</v>
      </c>
      <c r="C4" t="s">
        <v>417</v>
      </c>
      <c r="D4" t="s">
        <v>416</v>
      </c>
      <c r="E4">
        <v>21</v>
      </c>
    </row>
    <row r="5" spans="1:5" x14ac:dyDescent="0.35">
      <c r="A5" t="s">
        <v>28</v>
      </c>
      <c r="B5" t="s">
        <v>29</v>
      </c>
      <c r="C5" t="s">
        <v>418</v>
      </c>
      <c r="D5" t="s">
        <v>391</v>
      </c>
      <c r="E5">
        <v>28</v>
      </c>
    </row>
    <row r="6" spans="1:5" x14ac:dyDescent="0.35">
      <c r="A6" t="s">
        <v>44</v>
      </c>
      <c r="B6" t="s">
        <v>45</v>
      </c>
      <c r="C6" t="s">
        <v>420</v>
      </c>
      <c r="D6" t="s">
        <v>419</v>
      </c>
      <c r="E6">
        <v>32</v>
      </c>
    </row>
    <row r="7" spans="1:5" x14ac:dyDescent="0.35">
      <c r="A7" t="s">
        <v>46</v>
      </c>
      <c r="B7" t="s">
        <v>47</v>
      </c>
      <c r="C7" t="s">
        <v>422</v>
      </c>
      <c r="D7" t="s">
        <v>421</v>
      </c>
      <c r="E7">
        <v>11</v>
      </c>
    </row>
    <row r="8" spans="1:5" x14ac:dyDescent="0.35">
      <c r="A8" t="s">
        <v>68</v>
      </c>
      <c r="B8" t="s">
        <v>69</v>
      </c>
      <c r="C8" t="s">
        <v>424</v>
      </c>
      <c r="D8" t="s">
        <v>423</v>
      </c>
      <c r="E8">
        <v>13</v>
      </c>
    </row>
    <row r="9" spans="1:5" x14ac:dyDescent="0.35">
      <c r="A9" t="s">
        <v>70</v>
      </c>
      <c r="B9" t="s">
        <v>71</v>
      </c>
      <c r="C9" t="s">
        <v>67</v>
      </c>
      <c r="D9" t="s">
        <v>62</v>
      </c>
      <c r="E9">
        <v>1</v>
      </c>
    </row>
    <row r="10" spans="1:5" x14ac:dyDescent="0.35">
      <c r="A10" t="s">
        <v>72</v>
      </c>
      <c r="B10" t="s">
        <v>73</v>
      </c>
      <c r="C10" t="s">
        <v>67</v>
      </c>
      <c r="D10" t="s">
        <v>62</v>
      </c>
      <c r="E10">
        <v>1</v>
      </c>
    </row>
    <row r="11" spans="1:5" x14ac:dyDescent="0.35">
      <c r="A11" t="s">
        <v>79</v>
      </c>
      <c r="B11" t="s">
        <v>80</v>
      </c>
      <c r="C11" t="s">
        <v>78</v>
      </c>
      <c r="D11" t="s">
        <v>62</v>
      </c>
      <c r="E11">
        <v>1</v>
      </c>
    </row>
    <row r="12" spans="1:5" x14ac:dyDescent="0.35">
      <c r="A12" t="s">
        <v>84</v>
      </c>
      <c r="B12" t="s">
        <v>85</v>
      </c>
      <c r="C12" t="s">
        <v>426</v>
      </c>
      <c r="D12" t="s">
        <v>425</v>
      </c>
      <c r="E12">
        <v>2</v>
      </c>
    </row>
    <row r="13" spans="1:5" x14ac:dyDescent="0.35">
      <c r="A13" t="s">
        <v>93</v>
      </c>
      <c r="B13" t="s">
        <v>94</v>
      </c>
      <c r="C13" t="s">
        <v>92</v>
      </c>
      <c r="D13" t="s">
        <v>89</v>
      </c>
      <c r="E13">
        <v>1</v>
      </c>
    </row>
    <row r="14" spans="1:5" x14ac:dyDescent="0.35">
      <c r="A14" t="s">
        <v>102</v>
      </c>
      <c r="B14" t="s">
        <v>103</v>
      </c>
      <c r="C14" t="s">
        <v>101</v>
      </c>
      <c r="D14" t="s">
        <v>89</v>
      </c>
      <c r="E14">
        <v>1</v>
      </c>
    </row>
    <row r="15" spans="1:5" x14ac:dyDescent="0.35">
      <c r="A15" t="s">
        <v>104</v>
      </c>
      <c r="B15" t="s">
        <v>105</v>
      </c>
      <c r="C15" t="s">
        <v>101</v>
      </c>
      <c r="D15" t="s">
        <v>89</v>
      </c>
      <c r="E15">
        <v>1</v>
      </c>
    </row>
    <row r="16" spans="1:5" x14ac:dyDescent="0.35">
      <c r="A16" t="s">
        <v>106</v>
      </c>
      <c r="B16" t="s">
        <v>107</v>
      </c>
      <c r="C16" t="s">
        <v>427</v>
      </c>
      <c r="D16" t="s">
        <v>89</v>
      </c>
      <c r="E16">
        <v>3</v>
      </c>
    </row>
    <row r="17" spans="1:5" x14ac:dyDescent="0.35">
      <c r="A17" t="s">
        <v>108</v>
      </c>
      <c r="B17" t="s">
        <v>109</v>
      </c>
      <c r="C17" t="s">
        <v>429</v>
      </c>
      <c r="D17" t="s">
        <v>428</v>
      </c>
      <c r="E17">
        <v>13</v>
      </c>
    </row>
    <row r="18" spans="1:5" x14ac:dyDescent="0.35">
      <c r="A18" t="s">
        <v>113</v>
      </c>
      <c r="B18" t="s">
        <v>114</v>
      </c>
      <c r="C18" t="s">
        <v>431</v>
      </c>
      <c r="D18" t="s">
        <v>430</v>
      </c>
      <c r="E18">
        <v>3</v>
      </c>
    </row>
    <row r="19" spans="1:5" x14ac:dyDescent="0.35">
      <c r="A19" t="s">
        <v>115</v>
      </c>
      <c r="B19" t="s">
        <v>116</v>
      </c>
      <c r="C19" t="s">
        <v>431</v>
      </c>
      <c r="D19" t="s">
        <v>430</v>
      </c>
      <c r="E19">
        <v>3</v>
      </c>
    </row>
    <row r="20" spans="1:5" x14ac:dyDescent="0.35">
      <c r="A20" t="s">
        <v>117</v>
      </c>
      <c r="B20" t="s">
        <v>118</v>
      </c>
      <c r="C20" t="s">
        <v>433</v>
      </c>
      <c r="D20" t="s">
        <v>432</v>
      </c>
      <c r="E20">
        <v>2</v>
      </c>
    </row>
    <row r="21" spans="1:5" x14ac:dyDescent="0.35">
      <c r="A21" t="s">
        <v>119</v>
      </c>
      <c r="B21" t="s">
        <v>120</v>
      </c>
      <c r="C21" t="s">
        <v>431</v>
      </c>
      <c r="D21" t="s">
        <v>430</v>
      </c>
      <c r="E21">
        <v>3</v>
      </c>
    </row>
    <row r="22" spans="1:5" x14ac:dyDescent="0.35">
      <c r="A22" t="s">
        <v>126</v>
      </c>
      <c r="B22" t="s">
        <v>127</v>
      </c>
      <c r="C22" t="s">
        <v>125</v>
      </c>
      <c r="D22" t="s">
        <v>89</v>
      </c>
      <c r="E22">
        <v>1</v>
      </c>
    </row>
    <row r="23" spans="1:5" x14ac:dyDescent="0.35">
      <c r="A23" t="s">
        <v>128</v>
      </c>
      <c r="B23" t="s">
        <v>129</v>
      </c>
      <c r="C23" t="s">
        <v>434</v>
      </c>
      <c r="D23" t="s">
        <v>89</v>
      </c>
      <c r="E23">
        <v>2</v>
      </c>
    </row>
    <row r="24" spans="1:5" x14ac:dyDescent="0.35">
      <c r="A24" t="s">
        <v>130</v>
      </c>
      <c r="B24" t="s">
        <v>131</v>
      </c>
      <c r="C24" t="s">
        <v>434</v>
      </c>
      <c r="D24" t="s">
        <v>89</v>
      </c>
      <c r="E24">
        <v>2</v>
      </c>
    </row>
    <row r="25" spans="1:5" x14ac:dyDescent="0.35">
      <c r="A25" t="s">
        <v>132</v>
      </c>
      <c r="B25" t="s">
        <v>133</v>
      </c>
      <c r="C25" t="s">
        <v>434</v>
      </c>
      <c r="D25" t="s">
        <v>89</v>
      </c>
      <c r="E25">
        <v>2</v>
      </c>
    </row>
    <row r="26" spans="1:5" x14ac:dyDescent="0.35">
      <c r="A26" t="s">
        <v>134</v>
      </c>
      <c r="B26" t="s">
        <v>135</v>
      </c>
      <c r="C26" t="s">
        <v>125</v>
      </c>
      <c r="D26" t="s">
        <v>89</v>
      </c>
      <c r="E26">
        <v>1</v>
      </c>
    </row>
    <row r="27" spans="1:5" x14ac:dyDescent="0.35">
      <c r="A27" t="s">
        <v>152</v>
      </c>
      <c r="B27" t="s">
        <v>153</v>
      </c>
      <c r="C27" t="s">
        <v>151</v>
      </c>
      <c r="D27" t="s">
        <v>145</v>
      </c>
      <c r="E27">
        <v>1</v>
      </c>
    </row>
    <row r="28" spans="1:5" x14ac:dyDescent="0.35">
      <c r="A28" t="s">
        <v>154</v>
      </c>
      <c r="B28" t="s">
        <v>155</v>
      </c>
      <c r="C28" t="s">
        <v>151</v>
      </c>
      <c r="D28" t="s">
        <v>145</v>
      </c>
      <c r="E28">
        <v>1</v>
      </c>
    </row>
    <row r="29" spans="1:5" x14ac:dyDescent="0.35">
      <c r="A29" t="s">
        <v>156</v>
      </c>
      <c r="B29" t="s">
        <v>157</v>
      </c>
      <c r="C29" t="s">
        <v>151</v>
      </c>
      <c r="D29" t="s">
        <v>145</v>
      </c>
      <c r="E29">
        <v>1</v>
      </c>
    </row>
    <row r="30" spans="1:5" x14ac:dyDescent="0.35">
      <c r="A30" t="s">
        <v>158</v>
      </c>
      <c r="B30" t="s">
        <v>159</v>
      </c>
      <c r="C30" t="s">
        <v>151</v>
      </c>
      <c r="D30" t="s">
        <v>145</v>
      </c>
      <c r="E30">
        <v>1</v>
      </c>
    </row>
    <row r="31" spans="1:5" x14ac:dyDescent="0.35">
      <c r="A31" t="s">
        <v>166</v>
      </c>
      <c r="B31" t="s">
        <v>167</v>
      </c>
      <c r="C31" t="s">
        <v>164</v>
      </c>
      <c r="D31" t="s">
        <v>165</v>
      </c>
      <c r="E31">
        <v>1</v>
      </c>
    </row>
    <row r="32" spans="1:5" x14ac:dyDescent="0.35">
      <c r="A32" t="s">
        <v>174</v>
      </c>
      <c r="B32" t="s">
        <v>175</v>
      </c>
      <c r="C32" t="s">
        <v>172</v>
      </c>
      <c r="D32" t="s">
        <v>173</v>
      </c>
      <c r="E32">
        <v>1</v>
      </c>
    </row>
    <row r="33" spans="1:5" x14ac:dyDescent="0.35">
      <c r="A33" t="s">
        <v>187</v>
      </c>
      <c r="B33" t="s">
        <v>188</v>
      </c>
      <c r="C33" t="s">
        <v>185</v>
      </c>
      <c r="D33" t="s">
        <v>186</v>
      </c>
      <c r="E33">
        <v>1</v>
      </c>
    </row>
    <row r="34" spans="1:5" x14ac:dyDescent="0.35">
      <c r="A34" t="s">
        <v>189</v>
      </c>
      <c r="B34" t="s">
        <v>190</v>
      </c>
      <c r="C34" t="s">
        <v>436</v>
      </c>
      <c r="D34" t="s">
        <v>435</v>
      </c>
      <c r="E34">
        <v>3</v>
      </c>
    </row>
    <row r="35" spans="1:5" x14ac:dyDescent="0.35">
      <c r="A35" t="s">
        <v>191</v>
      </c>
      <c r="B35" t="s">
        <v>192</v>
      </c>
      <c r="C35" t="s">
        <v>185</v>
      </c>
      <c r="D35" t="s">
        <v>186</v>
      </c>
      <c r="E35">
        <v>1</v>
      </c>
    </row>
    <row r="36" spans="1:5" x14ac:dyDescent="0.35">
      <c r="A36" t="s">
        <v>193</v>
      </c>
      <c r="B36" t="s">
        <v>194</v>
      </c>
      <c r="C36" t="s">
        <v>437</v>
      </c>
      <c r="D36" t="s">
        <v>186</v>
      </c>
      <c r="E36">
        <v>2</v>
      </c>
    </row>
    <row r="37" spans="1:5" x14ac:dyDescent="0.35">
      <c r="A37" t="s">
        <v>204</v>
      </c>
      <c r="B37" t="s">
        <v>205</v>
      </c>
      <c r="C37" t="s">
        <v>201</v>
      </c>
      <c r="D37" t="s">
        <v>198</v>
      </c>
      <c r="E37">
        <v>1</v>
      </c>
    </row>
    <row r="38" spans="1:5" x14ac:dyDescent="0.35">
      <c r="A38" t="s">
        <v>211</v>
      </c>
      <c r="B38" t="s">
        <v>212</v>
      </c>
      <c r="C38" t="s">
        <v>210</v>
      </c>
      <c r="D38" t="s">
        <v>198</v>
      </c>
      <c r="E38">
        <v>1</v>
      </c>
    </row>
    <row r="39" spans="1:5" x14ac:dyDescent="0.35">
      <c r="A39" t="s">
        <v>214</v>
      </c>
      <c r="B39" t="s">
        <v>215</v>
      </c>
      <c r="C39" t="s">
        <v>213</v>
      </c>
      <c r="D39" t="s">
        <v>198</v>
      </c>
      <c r="E39">
        <v>1</v>
      </c>
    </row>
    <row r="40" spans="1:5" x14ac:dyDescent="0.35">
      <c r="A40" t="s">
        <v>217</v>
      </c>
      <c r="B40" t="s">
        <v>218</v>
      </c>
      <c r="C40" t="s">
        <v>216</v>
      </c>
      <c r="D40" t="s">
        <v>198</v>
      </c>
      <c r="E40">
        <v>1</v>
      </c>
    </row>
    <row r="41" spans="1:5" x14ac:dyDescent="0.35">
      <c r="A41" t="s">
        <v>219</v>
      </c>
      <c r="B41" t="s">
        <v>220</v>
      </c>
      <c r="C41" t="s">
        <v>216</v>
      </c>
      <c r="D41" t="s">
        <v>198</v>
      </c>
      <c r="E41">
        <v>1</v>
      </c>
    </row>
    <row r="42" spans="1:5" x14ac:dyDescent="0.35">
      <c r="A42" t="s">
        <v>221</v>
      </c>
      <c r="B42" t="s">
        <v>222</v>
      </c>
      <c r="C42" t="s">
        <v>216</v>
      </c>
      <c r="D42" t="s">
        <v>198</v>
      </c>
      <c r="E42">
        <v>1</v>
      </c>
    </row>
    <row r="43" spans="1:5" x14ac:dyDescent="0.35">
      <c r="A43" t="s">
        <v>223</v>
      </c>
      <c r="B43" t="s">
        <v>224</v>
      </c>
      <c r="C43" t="s">
        <v>216</v>
      </c>
      <c r="D43" t="s">
        <v>198</v>
      </c>
      <c r="E43">
        <v>1</v>
      </c>
    </row>
    <row r="44" spans="1:5" x14ac:dyDescent="0.35">
      <c r="A44" t="s">
        <v>227</v>
      </c>
      <c r="B44" t="s">
        <v>228</v>
      </c>
      <c r="C44" t="s">
        <v>225</v>
      </c>
      <c r="D44" t="s">
        <v>226</v>
      </c>
      <c r="E44">
        <v>1</v>
      </c>
    </row>
    <row r="45" spans="1:5" x14ac:dyDescent="0.35">
      <c r="A45" t="s">
        <v>260</v>
      </c>
      <c r="B45" t="s">
        <v>261</v>
      </c>
      <c r="C45" t="s">
        <v>258</v>
      </c>
      <c r="D45" t="s">
        <v>8</v>
      </c>
      <c r="E45">
        <v>1</v>
      </c>
    </row>
    <row r="46" spans="1:5" x14ac:dyDescent="0.35">
      <c r="A46" t="s">
        <v>262</v>
      </c>
      <c r="B46" t="s">
        <v>263</v>
      </c>
      <c r="C46" t="s">
        <v>258</v>
      </c>
      <c r="D46" t="s">
        <v>8</v>
      </c>
      <c r="E46">
        <v>1</v>
      </c>
    </row>
    <row r="47" spans="1:5" x14ac:dyDescent="0.35">
      <c r="A47" t="s">
        <v>267</v>
      </c>
      <c r="B47" t="s">
        <v>268</v>
      </c>
      <c r="C47" t="s">
        <v>439</v>
      </c>
      <c r="D47" t="s">
        <v>438</v>
      </c>
      <c r="E47">
        <v>3</v>
      </c>
    </row>
    <row r="48" spans="1:5" x14ac:dyDescent="0.35">
      <c r="A48" t="s">
        <v>269</v>
      </c>
      <c r="B48" t="s">
        <v>270</v>
      </c>
      <c r="C48" t="s">
        <v>266</v>
      </c>
      <c r="D48" t="s">
        <v>165</v>
      </c>
      <c r="E48">
        <v>1</v>
      </c>
    </row>
    <row r="49" spans="1:5" x14ac:dyDescent="0.35">
      <c r="A49" t="s">
        <v>271</v>
      </c>
      <c r="B49" t="s">
        <v>272</v>
      </c>
      <c r="C49" t="s">
        <v>441</v>
      </c>
      <c r="D49" t="s">
        <v>440</v>
      </c>
      <c r="E49">
        <v>2</v>
      </c>
    </row>
    <row r="50" spans="1:5" x14ac:dyDescent="0.35">
      <c r="A50" t="s">
        <v>273</v>
      </c>
      <c r="B50" t="s">
        <v>274</v>
      </c>
      <c r="C50" t="s">
        <v>266</v>
      </c>
      <c r="D50" t="s">
        <v>165</v>
      </c>
      <c r="E50">
        <v>1</v>
      </c>
    </row>
    <row r="51" spans="1:5" x14ac:dyDescent="0.35">
      <c r="A51" t="s">
        <v>280</v>
      </c>
      <c r="B51" t="s">
        <v>281</v>
      </c>
      <c r="C51" t="s">
        <v>279</v>
      </c>
      <c r="D51" t="s">
        <v>173</v>
      </c>
      <c r="E51">
        <v>1</v>
      </c>
    </row>
    <row r="52" spans="1:5" x14ac:dyDescent="0.35">
      <c r="A52" t="s">
        <v>282</v>
      </c>
      <c r="B52" t="s">
        <v>283</v>
      </c>
      <c r="C52" t="s">
        <v>442</v>
      </c>
      <c r="D52" t="s">
        <v>173</v>
      </c>
      <c r="E52">
        <v>2</v>
      </c>
    </row>
    <row r="53" spans="1:5" x14ac:dyDescent="0.35">
      <c r="A53" t="s">
        <v>293</v>
      </c>
      <c r="B53" t="s">
        <v>294</v>
      </c>
      <c r="C53" t="s">
        <v>292</v>
      </c>
      <c r="D53" t="s">
        <v>173</v>
      </c>
      <c r="E53">
        <v>1</v>
      </c>
    </row>
    <row r="54" spans="1:5" x14ac:dyDescent="0.35">
      <c r="A54" t="s">
        <v>295</v>
      </c>
      <c r="B54" t="s">
        <v>296</v>
      </c>
      <c r="C54" t="s">
        <v>292</v>
      </c>
      <c r="D54" t="s">
        <v>173</v>
      </c>
      <c r="E54">
        <v>1</v>
      </c>
    </row>
    <row r="55" spans="1:5" x14ac:dyDescent="0.35">
      <c r="A55" t="s">
        <v>297</v>
      </c>
      <c r="B55" t="s">
        <v>298</v>
      </c>
      <c r="C55" t="s">
        <v>292</v>
      </c>
      <c r="D55" t="s">
        <v>173</v>
      </c>
      <c r="E55">
        <v>1</v>
      </c>
    </row>
    <row r="56" spans="1:5" x14ac:dyDescent="0.35">
      <c r="A56" t="s">
        <v>299</v>
      </c>
      <c r="B56" t="s">
        <v>300</v>
      </c>
      <c r="C56" t="s">
        <v>292</v>
      </c>
      <c r="D56" t="s">
        <v>173</v>
      </c>
      <c r="E56">
        <v>1</v>
      </c>
    </row>
    <row r="57" spans="1:5" x14ac:dyDescent="0.35">
      <c r="A57" t="s">
        <v>308</v>
      </c>
      <c r="B57" t="s">
        <v>309</v>
      </c>
      <c r="C57" t="s">
        <v>444</v>
      </c>
      <c r="D57" t="s">
        <v>443</v>
      </c>
      <c r="E57">
        <v>2</v>
      </c>
    </row>
    <row r="58" spans="1:5" x14ac:dyDescent="0.35">
      <c r="A58" t="s">
        <v>310</v>
      </c>
      <c r="B58" t="s">
        <v>311</v>
      </c>
      <c r="C58" t="s">
        <v>307</v>
      </c>
      <c r="D58" t="s">
        <v>186</v>
      </c>
      <c r="E58">
        <v>1</v>
      </c>
    </row>
    <row r="59" spans="1:5" x14ac:dyDescent="0.35">
      <c r="A59" t="s">
        <v>319</v>
      </c>
      <c r="B59" t="s">
        <v>320</v>
      </c>
      <c r="C59" t="s">
        <v>316</v>
      </c>
      <c r="D59" t="s">
        <v>226</v>
      </c>
      <c r="E59">
        <v>1</v>
      </c>
    </row>
    <row r="60" spans="1:5" x14ac:dyDescent="0.35">
      <c r="A60" t="s">
        <v>321</v>
      </c>
      <c r="B60" t="s">
        <v>322</v>
      </c>
      <c r="C60" t="s">
        <v>316</v>
      </c>
      <c r="D60" t="s">
        <v>226</v>
      </c>
      <c r="E60">
        <v>1</v>
      </c>
    </row>
    <row r="61" spans="1:5" x14ac:dyDescent="0.35">
      <c r="A61" t="s">
        <v>327</v>
      </c>
      <c r="B61" t="s">
        <v>328</v>
      </c>
      <c r="C61" t="s">
        <v>326</v>
      </c>
      <c r="D61" t="s">
        <v>36</v>
      </c>
      <c r="E61">
        <v>1</v>
      </c>
    </row>
    <row r="62" spans="1:5" x14ac:dyDescent="0.35">
      <c r="A62" t="s">
        <v>335</v>
      </c>
      <c r="B62" t="s">
        <v>336</v>
      </c>
      <c r="C62" t="s">
        <v>334</v>
      </c>
      <c r="D62" t="s">
        <v>8</v>
      </c>
      <c r="E62">
        <v>1</v>
      </c>
    </row>
    <row r="63" spans="1:5" x14ac:dyDescent="0.35">
      <c r="A63" t="s">
        <v>342</v>
      </c>
      <c r="B63" t="s">
        <v>343</v>
      </c>
      <c r="C63" t="s">
        <v>446</v>
      </c>
      <c r="D63" t="s">
        <v>445</v>
      </c>
      <c r="E63">
        <v>3</v>
      </c>
    </row>
    <row r="64" spans="1:5" x14ac:dyDescent="0.35">
      <c r="A64" t="s">
        <v>348</v>
      </c>
      <c r="B64" t="s">
        <v>349</v>
      </c>
      <c r="C64" t="s">
        <v>347</v>
      </c>
      <c r="D64" t="s">
        <v>62</v>
      </c>
      <c r="E64">
        <v>1</v>
      </c>
    </row>
    <row r="65" spans="1:5" x14ac:dyDescent="0.35">
      <c r="A65" t="s">
        <v>355</v>
      </c>
      <c r="B65" t="s">
        <v>356</v>
      </c>
      <c r="C65" t="s">
        <v>353</v>
      </c>
      <c r="D65" t="s">
        <v>145</v>
      </c>
      <c r="E65">
        <v>1</v>
      </c>
    </row>
    <row r="66" spans="1:5" x14ac:dyDescent="0.35">
      <c r="A66" t="s">
        <v>360</v>
      </c>
      <c r="B66" t="s">
        <v>361</v>
      </c>
      <c r="C66" t="s">
        <v>359</v>
      </c>
      <c r="D66" t="s">
        <v>165</v>
      </c>
      <c r="E66">
        <v>1</v>
      </c>
    </row>
    <row r="67" spans="1:5" x14ac:dyDescent="0.35">
      <c r="A67" t="s">
        <v>369</v>
      </c>
      <c r="B67" t="s">
        <v>370</v>
      </c>
      <c r="C67" t="s">
        <v>368</v>
      </c>
      <c r="D67" t="s">
        <v>226</v>
      </c>
      <c r="E67">
        <v>1</v>
      </c>
    </row>
  </sheetData>
  <pageMargins left="0.7" right="0.7" top="0.75" bottom="0.75" header="0.3" footer="0.3"/>
  <ignoredErrors>
    <ignoredError sqref="A1:E6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4"/>
  <sheetViews>
    <sheetView workbookViewId="0">
      <selection activeCell="F6" sqref="F6"/>
    </sheetView>
  </sheetViews>
  <sheetFormatPr defaultColWidth="8.83203125" defaultRowHeight="15.5" x14ac:dyDescent="0.35"/>
  <cols>
    <col min="1" max="1" width="10.83203125" customWidth="1"/>
    <col min="2" max="2" width="40.83203125" customWidth="1"/>
    <col min="3" max="3" width="60.83203125" customWidth="1"/>
    <col min="4" max="4" width="35.83203125" customWidth="1"/>
    <col min="5" max="5" width="12.83203125" customWidth="1"/>
    <col min="6" max="6" width="62.83203125" customWidth="1"/>
  </cols>
  <sheetData>
    <row r="1" spans="1:6" x14ac:dyDescent="0.35">
      <c r="A1" t="s">
        <v>466</v>
      </c>
      <c r="B1" t="s">
        <v>467</v>
      </c>
      <c r="C1" t="s">
        <v>468</v>
      </c>
      <c r="D1" t="s">
        <v>387</v>
      </c>
      <c r="E1" t="s">
        <v>6</v>
      </c>
    </row>
    <row r="2" spans="1:6" ht="108.5" x14ac:dyDescent="0.35">
      <c r="A2" s="6" t="s">
        <v>31</v>
      </c>
      <c r="B2" s="6" t="s">
        <v>32</v>
      </c>
      <c r="C2" s="6" t="s">
        <v>7</v>
      </c>
      <c r="D2" s="6" t="s">
        <v>8</v>
      </c>
      <c r="E2" s="6">
        <v>1</v>
      </c>
      <c r="F2" s="5" t="s">
        <v>494</v>
      </c>
    </row>
    <row r="3" spans="1:6" ht="62" x14ac:dyDescent="0.35">
      <c r="A3" s="6" t="s">
        <v>33</v>
      </c>
      <c r="B3" s="6" t="s">
        <v>34</v>
      </c>
      <c r="C3" s="6" t="s">
        <v>7</v>
      </c>
      <c r="D3" s="6" t="s">
        <v>8</v>
      </c>
      <c r="E3" s="6">
        <v>1</v>
      </c>
      <c r="F3" s="5" t="s">
        <v>495</v>
      </c>
    </row>
    <row r="4" spans="1:6" x14ac:dyDescent="0.35">
      <c r="A4" t="s">
        <v>48</v>
      </c>
      <c r="B4" t="s">
        <v>49</v>
      </c>
      <c r="C4" t="s">
        <v>35</v>
      </c>
      <c r="D4" t="s">
        <v>36</v>
      </c>
      <c r="E4">
        <v>1</v>
      </c>
      <c r="F4" t="s">
        <v>497</v>
      </c>
    </row>
    <row r="5" spans="1:6" x14ac:dyDescent="0.35">
      <c r="A5" t="s">
        <v>50</v>
      </c>
      <c r="B5" t="s">
        <v>51</v>
      </c>
      <c r="C5" t="s">
        <v>448</v>
      </c>
      <c r="D5" t="s">
        <v>447</v>
      </c>
      <c r="E5">
        <v>24</v>
      </c>
      <c r="F5" t="s">
        <v>498</v>
      </c>
    </row>
    <row r="6" spans="1:6" x14ac:dyDescent="0.35">
      <c r="A6" t="s">
        <v>52</v>
      </c>
      <c r="B6" t="s">
        <v>53</v>
      </c>
      <c r="C6" t="s">
        <v>450</v>
      </c>
      <c r="D6" t="s">
        <v>449</v>
      </c>
      <c r="E6">
        <v>26</v>
      </c>
      <c r="F6" t="s">
        <v>499</v>
      </c>
    </row>
    <row r="7" spans="1:6" x14ac:dyDescent="0.35">
      <c r="A7" t="s">
        <v>54</v>
      </c>
      <c r="B7" t="s">
        <v>55</v>
      </c>
      <c r="C7" t="s">
        <v>451</v>
      </c>
      <c r="D7" t="s">
        <v>398</v>
      </c>
      <c r="E7">
        <v>39</v>
      </c>
      <c r="F7" t="s">
        <v>500</v>
      </c>
    </row>
    <row r="8" spans="1:6" x14ac:dyDescent="0.35">
      <c r="A8" t="s">
        <v>60</v>
      </c>
      <c r="B8" t="s">
        <v>41</v>
      </c>
      <c r="C8" t="s">
        <v>56</v>
      </c>
      <c r="D8" t="s">
        <v>8</v>
      </c>
      <c r="E8">
        <v>1</v>
      </c>
      <c r="F8" t="s">
        <v>501</v>
      </c>
    </row>
    <row r="9" spans="1:6" x14ac:dyDescent="0.35">
      <c r="A9" t="s">
        <v>63</v>
      </c>
      <c r="B9" t="s">
        <v>64</v>
      </c>
      <c r="C9" t="s">
        <v>61</v>
      </c>
      <c r="D9" t="s">
        <v>62</v>
      </c>
      <c r="E9">
        <v>1</v>
      </c>
      <c r="F9" t="s">
        <v>502</v>
      </c>
    </row>
    <row r="10" spans="1:6" x14ac:dyDescent="0.35">
      <c r="A10" t="s">
        <v>65</v>
      </c>
      <c r="B10" t="s">
        <v>66</v>
      </c>
      <c r="C10" t="s">
        <v>61</v>
      </c>
      <c r="D10" t="s">
        <v>62</v>
      </c>
      <c r="E10">
        <v>1</v>
      </c>
      <c r="F10" t="s">
        <v>503</v>
      </c>
    </row>
    <row r="11" spans="1:6" x14ac:dyDescent="0.35">
      <c r="A11" t="s">
        <v>74</v>
      </c>
      <c r="B11" t="s">
        <v>75</v>
      </c>
      <c r="C11" t="s">
        <v>67</v>
      </c>
      <c r="D11" t="s">
        <v>62</v>
      </c>
      <c r="E11">
        <v>1</v>
      </c>
      <c r="F11" t="s">
        <v>504</v>
      </c>
    </row>
    <row r="12" spans="1:6" x14ac:dyDescent="0.35">
      <c r="A12" t="s">
        <v>76</v>
      </c>
      <c r="B12" t="s">
        <v>77</v>
      </c>
      <c r="C12" t="s">
        <v>67</v>
      </c>
      <c r="D12" t="s">
        <v>62</v>
      </c>
      <c r="E12">
        <v>1</v>
      </c>
      <c r="F12" t="s">
        <v>505</v>
      </c>
    </row>
    <row r="13" spans="1:6" x14ac:dyDescent="0.35">
      <c r="A13" t="s">
        <v>81</v>
      </c>
      <c r="B13" t="s">
        <v>82</v>
      </c>
      <c r="C13" t="s">
        <v>78</v>
      </c>
      <c r="D13" t="s">
        <v>62</v>
      </c>
      <c r="E13">
        <v>1</v>
      </c>
      <c r="F13" t="s">
        <v>506</v>
      </c>
    </row>
    <row r="14" spans="1:6" x14ac:dyDescent="0.35">
      <c r="A14" t="s">
        <v>86</v>
      </c>
      <c r="B14" t="s">
        <v>87</v>
      </c>
      <c r="C14" t="s">
        <v>83</v>
      </c>
      <c r="D14" t="s">
        <v>62</v>
      </c>
      <c r="E14">
        <v>1</v>
      </c>
      <c r="F14" t="s">
        <v>507</v>
      </c>
    </row>
    <row r="15" spans="1:6" x14ac:dyDescent="0.35">
      <c r="A15" t="s">
        <v>90</v>
      </c>
      <c r="B15" t="s">
        <v>91</v>
      </c>
      <c r="C15" t="s">
        <v>88</v>
      </c>
      <c r="D15" t="s">
        <v>89</v>
      </c>
      <c r="E15">
        <v>1</v>
      </c>
      <c r="F15" t="s">
        <v>508</v>
      </c>
    </row>
    <row r="16" spans="1:6" x14ac:dyDescent="0.35">
      <c r="A16" t="s">
        <v>95</v>
      </c>
      <c r="B16" t="s">
        <v>96</v>
      </c>
      <c r="C16" t="s">
        <v>92</v>
      </c>
      <c r="D16" t="s">
        <v>89</v>
      </c>
      <c r="E16">
        <v>1</v>
      </c>
      <c r="F16" t="s">
        <v>509</v>
      </c>
    </row>
    <row r="17" spans="1:6" x14ac:dyDescent="0.35">
      <c r="A17" t="s">
        <v>97</v>
      </c>
      <c r="B17" t="s">
        <v>98</v>
      </c>
      <c r="C17" t="s">
        <v>92</v>
      </c>
      <c r="D17" t="s">
        <v>89</v>
      </c>
      <c r="E17">
        <v>1</v>
      </c>
      <c r="F17" t="s">
        <v>510</v>
      </c>
    </row>
    <row r="18" spans="1:6" x14ac:dyDescent="0.35">
      <c r="A18" t="s">
        <v>99</v>
      </c>
      <c r="B18" t="s">
        <v>100</v>
      </c>
      <c r="C18" t="s">
        <v>92</v>
      </c>
      <c r="D18" t="s">
        <v>89</v>
      </c>
      <c r="E18">
        <v>1</v>
      </c>
      <c r="F18" t="s">
        <v>511</v>
      </c>
    </row>
    <row r="19" spans="1:6" x14ac:dyDescent="0.35">
      <c r="A19" t="s">
        <v>110</v>
      </c>
      <c r="B19" t="s">
        <v>111</v>
      </c>
      <c r="C19" t="s">
        <v>101</v>
      </c>
      <c r="D19" t="s">
        <v>89</v>
      </c>
      <c r="E19">
        <v>1</v>
      </c>
      <c r="F19" t="s">
        <v>512</v>
      </c>
    </row>
    <row r="20" spans="1:6" x14ac:dyDescent="0.35">
      <c r="A20" t="s">
        <v>121</v>
      </c>
      <c r="B20" t="s">
        <v>122</v>
      </c>
      <c r="C20" t="s">
        <v>112</v>
      </c>
      <c r="D20" t="s">
        <v>89</v>
      </c>
      <c r="E20">
        <v>1</v>
      </c>
      <c r="F20" t="s">
        <v>513</v>
      </c>
    </row>
    <row r="21" spans="1:6" x14ac:dyDescent="0.35">
      <c r="A21" t="s">
        <v>123</v>
      </c>
      <c r="B21" t="s">
        <v>124</v>
      </c>
      <c r="C21" t="s">
        <v>431</v>
      </c>
      <c r="D21" t="s">
        <v>430</v>
      </c>
      <c r="E21">
        <v>3</v>
      </c>
      <c r="F21" t="s">
        <v>514</v>
      </c>
    </row>
    <row r="22" spans="1:6" x14ac:dyDescent="0.35">
      <c r="A22" t="s">
        <v>136</v>
      </c>
      <c r="B22" t="s">
        <v>137</v>
      </c>
      <c r="C22" t="s">
        <v>125</v>
      </c>
      <c r="D22" t="s">
        <v>89</v>
      </c>
      <c r="E22">
        <v>1</v>
      </c>
      <c r="F22" t="s">
        <v>515</v>
      </c>
    </row>
    <row r="23" spans="1:6" x14ac:dyDescent="0.35">
      <c r="A23" t="s">
        <v>138</v>
      </c>
      <c r="B23" t="s">
        <v>139</v>
      </c>
      <c r="C23" t="s">
        <v>125</v>
      </c>
      <c r="D23" t="s">
        <v>89</v>
      </c>
      <c r="E23">
        <v>1</v>
      </c>
      <c r="F23" t="s">
        <v>516</v>
      </c>
    </row>
    <row r="24" spans="1:6" x14ac:dyDescent="0.35">
      <c r="A24" t="s">
        <v>140</v>
      </c>
      <c r="B24" t="s">
        <v>141</v>
      </c>
      <c r="C24" t="s">
        <v>125</v>
      </c>
      <c r="D24" t="s">
        <v>89</v>
      </c>
      <c r="E24">
        <v>1</v>
      </c>
      <c r="F24" t="s">
        <v>517</v>
      </c>
    </row>
    <row r="25" spans="1:6" x14ac:dyDescent="0.35">
      <c r="A25" t="s">
        <v>142</v>
      </c>
      <c r="B25" t="s">
        <v>143</v>
      </c>
      <c r="C25" t="s">
        <v>125</v>
      </c>
      <c r="D25" t="s">
        <v>89</v>
      </c>
      <c r="E25">
        <v>1</v>
      </c>
      <c r="F25" t="s">
        <v>518</v>
      </c>
    </row>
    <row r="26" spans="1:6" x14ac:dyDescent="0.35">
      <c r="A26" t="s">
        <v>146</v>
      </c>
      <c r="B26" t="s">
        <v>147</v>
      </c>
      <c r="C26" t="s">
        <v>144</v>
      </c>
      <c r="D26" t="s">
        <v>145</v>
      </c>
      <c r="E26">
        <v>1</v>
      </c>
      <c r="F26" t="s">
        <v>519</v>
      </c>
    </row>
    <row r="27" spans="1:6" x14ac:dyDescent="0.35">
      <c r="A27" t="s">
        <v>149</v>
      </c>
      <c r="B27" t="s">
        <v>150</v>
      </c>
      <c r="C27" t="s">
        <v>148</v>
      </c>
      <c r="D27" t="s">
        <v>145</v>
      </c>
      <c r="E27">
        <v>1</v>
      </c>
      <c r="F27" t="s">
        <v>520</v>
      </c>
    </row>
    <row r="28" spans="1:6" x14ac:dyDescent="0.35">
      <c r="A28" t="s">
        <v>160</v>
      </c>
      <c r="B28" t="s">
        <v>161</v>
      </c>
      <c r="C28" t="s">
        <v>151</v>
      </c>
      <c r="D28" t="s">
        <v>145</v>
      </c>
      <c r="E28">
        <v>1</v>
      </c>
      <c r="F28" t="s">
        <v>521</v>
      </c>
    </row>
    <row r="29" spans="1:6" x14ac:dyDescent="0.35">
      <c r="A29" t="s">
        <v>162</v>
      </c>
      <c r="B29" t="s">
        <v>163</v>
      </c>
      <c r="C29" t="s">
        <v>151</v>
      </c>
      <c r="D29" t="s">
        <v>145</v>
      </c>
      <c r="E29">
        <v>1</v>
      </c>
      <c r="F29" t="s">
        <v>522</v>
      </c>
    </row>
    <row r="30" spans="1:6" x14ac:dyDescent="0.35">
      <c r="A30" t="s">
        <v>168</v>
      </c>
      <c r="B30" t="s">
        <v>169</v>
      </c>
      <c r="C30" t="s">
        <v>164</v>
      </c>
      <c r="D30" t="s">
        <v>165</v>
      </c>
      <c r="E30">
        <v>1</v>
      </c>
      <c r="F30" t="s">
        <v>523</v>
      </c>
    </row>
    <row r="31" spans="1:6" x14ac:dyDescent="0.35">
      <c r="A31" t="s">
        <v>170</v>
      </c>
      <c r="B31" t="s">
        <v>171</v>
      </c>
      <c r="C31" t="s">
        <v>164</v>
      </c>
      <c r="D31" t="s">
        <v>165</v>
      </c>
      <c r="E31">
        <v>1</v>
      </c>
      <c r="F31" t="s">
        <v>524</v>
      </c>
    </row>
    <row r="32" spans="1:6" x14ac:dyDescent="0.35">
      <c r="A32" t="s">
        <v>176</v>
      </c>
      <c r="B32" t="s">
        <v>177</v>
      </c>
      <c r="C32" t="s">
        <v>172</v>
      </c>
      <c r="D32" t="s">
        <v>173</v>
      </c>
      <c r="E32">
        <v>1</v>
      </c>
      <c r="F32" t="s">
        <v>525</v>
      </c>
    </row>
    <row r="33" spans="1:6" x14ac:dyDescent="0.35">
      <c r="A33" t="s">
        <v>178</v>
      </c>
      <c r="B33" t="s">
        <v>179</v>
      </c>
      <c r="C33" t="s">
        <v>172</v>
      </c>
      <c r="D33" t="s">
        <v>173</v>
      </c>
      <c r="E33">
        <v>1</v>
      </c>
      <c r="F33" t="s">
        <v>526</v>
      </c>
    </row>
    <row r="34" spans="1:6" x14ac:dyDescent="0.35">
      <c r="A34" t="s">
        <v>181</v>
      </c>
      <c r="B34" t="s">
        <v>182</v>
      </c>
      <c r="C34" t="s">
        <v>180</v>
      </c>
      <c r="D34" t="s">
        <v>173</v>
      </c>
      <c r="E34">
        <v>1</v>
      </c>
      <c r="F34" t="s">
        <v>527</v>
      </c>
    </row>
    <row r="35" spans="1:6" x14ac:dyDescent="0.35">
      <c r="A35" t="s">
        <v>183</v>
      </c>
      <c r="B35" t="s">
        <v>184</v>
      </c>
      <c r="C35" t="s">
        <v>180</v>
      </c>
      <c r="D35" t="s">
        <v>173</v>
      </c>
      <c r="E35">
        <v>1</v>
      </c>
      <c r="F35" t="s">
        <v>528</v>
      </c>
    </row>
    <row r="36" spans="1:6" x14ac:dyDescent="0.35">
      <c r="A36" t="s">
        <v>195</v>
      </c>
      <c r="B36" t="s">
        <v>196</v>
      </c>
      <c r="C36" t="s">
        <v>185</v>
      </c>
      <c r="D36" t="s">
        <v>186</v>
      </c>
      <c r="E36">
        <v>1</v>
      </c>
      <c r="F36" t="s">
        <v>529</v>
      </c>
    </row>
    <row r="37" spans="1:6" x14ac:dyDescent="0.35">
      <c r="A37" t="s">
        <v>199</v>
      </c>
      <c r="B37" t="s">
        <v>200</v>
      </c>
      <c r="C37" t="s">
        <v>197</v>
      </c>
      <c r="D37" t="s">
        <v>198</v>
      </c>
      <c r="E37">
        <v>1</v>
      </c>
      <c r="F37" t="s">
        <v>530</v>
      </c>
    </row>
    <row r="38" spans="1:6" x14ac:dyDescent="0.35">
      <c r="A38" t="s">
        <v>206</v>
      </c>
      <c r="B38" t="s">
        <v>207</v>
      </c>
      <c r="C38" t="s">
        <v>201</v>
      </c>
      <c r="D38" t="s">
        <v>198</v>
      </c>
      <c r="E38">
        <v>1</v>
      </c>
      <c r="F38" t="s">
        <v>531</v>
      </c>
    </row>
    <row r="39" spans="1:6" x14ac:dyDescent="0.35">
      <c r="A39" t="s">
        <v>208</v>
      </c>
      <c r="B39" t="s">
        <v>209</v>
      </c>
      <c r="C39" t="s">
        <v>201</v>
      </c>
      <c r="D39" t="s">
        <v>198</v>
      </c>
      <c r="E39">
        <v>1</v>
      </c>
      <c r="F39" t="s">
        <v>532</v>
      </c>
    </row>
    <row r="40" spans="1:6" x14ac:dyDescent="0.35">
      <c r="A40" t="s">
        <v>229</v>
      </c>
      <c r="B40" t="s">
        <v>230</v>
      </c>
      <c r="C40" t="s">
        <v>225</v>
      </c>
      <c r="D40" t="s">
        <v>226</v>
      </c>
      <c r="E40">
        <v>1</v>
      </c>
      <c r="F40" t="s">
        <v>533</v>
      </c>
    </row>
    <row r="41" spans="1:6" x14ac:dyDescent="0.35">
      <c r="A41" t="s">
        <v>231</v>
      </c>
      <c r="B41" t="s">
        <v>232</v>
      </c>
      <c r="C41" t="s">
        <v>225</v>
      </c>
      <c r="D41" t="s">
        <v>226</v>
      </c>
      <c r="E41">
        <v>1</v>
      </c>
      <c r="F41" t="s">
        <v>534</v>
      </c>
    </row>
    <row r="42" spans="1:6" x14ac:dyDescent="0.35">
      <c r="A42" t="s">
        <v>233</v>
      </c>
      <c r="B42" t="s">
        <v>234</v>
      </c>
      <c r="C42" t="s">
        <v>225</v>
      </c>
      <c r="D42" t="s">
        <v>226</v>
      </c>
      <c r="E42">
        <v>1</v>
      </c>
      <c r="F42" t="s">
        <v>535</v>
      </c>
    </row>
    <row r="43" spans="1:6" x14ac:dyDescent="0.35">
      <c r="A43" t="s">
        <v>235</v>
      </c>
      <c r="B43" t="s">
        <v>236</v>
      </c>
      <c r="C43" t="s">
        <v>225</v>
      </c>
      <c r="D43" t="s">
        <v>226</v>
      </c>
      <c r="E43">
        <v>1</v>
      </c>
      <c r="F43" t="s">
        <v>536</v>
      </c>
    </row>
    <row r="44" spans="1:6" x14ac:dyDescent="0.35">
      <c r="A44" t="s">
        <v>237</v>
      </c>
      <c r="B44" t="s">
        <v>238</v>
      </c>
      <c r="C44" t="s">
        <v>225</v>
      </c>
      <c r="D44" t="s">
        <v>226</v>
      </c>
      <c r="E44">
        <v>1</v>
      </c>
      <c r="F44" t="s">
        <v>537</v>
      </c>
    </row>
    <row r="45" spans="1:6" x14ac:dyDescent="0.35">
      <c r="A45" t="s">
        <v>239</v>
      </c>
      <c r="B45" t="s">
        <v>240</v>
      </c>
      <c r="C45" t="s">
        <v>225</v>
      </c>
      <c r="D45" t="s">
        <v>226</v>
      </c>
      <c r="E45">
        <v>1</v>
      </c>
      <c r="F45" t="s">
        <v>538</v>
      </c>
    </row>
    <row r="46" spans="1:6" x14ac:dyDescent="0.35">
      <c r="A46" t="s">
        <v>241</v>
      </c>
      <c r="B46" t="s">
        <v>242</v>
      </c>
      <c r="C46" t="s">
        <v>225</v>
      </c>
      <c r="D46" t="s">
        <v>226</v>
      </c>
      <c r="E46">
        <v>1</v>
      </c>
      <c r="F46" t="s">
        <v>539</v>
      </c>
    </row>
    <row r="47" spans="1:6" x14ac:dyDescent="0.35">
      <c r="A47" t="s">
        <v>243</v>
      </c>
      <c r="B47" t="s">
        <v>244</v>
      </c>
      <c r="C47" t="s">
        <v>453</v>
      </c>
      <c r="D47" t="s">
        <v>452</v>
      </c>
      <c r="E47">
        <v>10</v>
      </c>
      <c r="F47" t="s">
        <v>540</v>
      </c>
    </row>
    <row r="48" spans="1:6" x14ac:dyDescent="0.35">
      <c r="A48" t="s">
        <v>246</v>
      </c>
      <c r="B48" t="s">
        <v>247</v>
      </c>
      <c r="C48" t="s">
        <v>245</v>
      </c>
      <c r="D48" t="s">
        <v>36</v>
      </c>
      <c r="E48">
        <v>1</v>
      </c>
      <c r="F48" t="s">
        <v>541</v>
      </c>
    </row>
    <row r="49" spans="1:6" x14ac:dyDescent="0.35">
      <c r="A49" t="s">
        <v>252</v>
      </c>
      <c r="B49" t="s">
        <v>253</v>
      </c>
      <c r="C49" t="s">
        <v>248</v>
      </c>
      <c r="D49" t="s">
        <v>8</v>
      </c>
      <c r="E49">
        <v>1</v>
      </c>
      <c r="F49" t="s">
        <v>542</v>
      </c>
    </row>
    <row r="50" spans="1:6" x14ac:dyDescent="0.35">
      <c r="A50" t="s">
        <v>254</v>
      </c>
      <c r="B50" t="s">
        <v>255</v>
      </c>
      <c r="C50" t="s">
        <v>248</v>
      </c>
      <c r="D50" t="s">
        <v>8</v>
      </c>
      <c r="E50">
        <v>1</v>
      </c>
      <c r="F50" t="s">
        <v>543</v>
      </c>
    </row>
    <row r="51" spans="1:6" x14ac:dyDescent="0.35">
      <c r="A51" t="s">
        <v>256</v>
      </c>
      <c r="B51" t="s">
        <v>257</v>
      </c>
      <c r="C51" t="s">
        <v>248</v>
      </c>
      <c r="D51" t="s">
        <v>8</v>
      </c>
      <c r="E51">
        <v>1</v>
      </c>
      <c r="F51" t="s">
        <v>544</v>
      </c>
    </row>
    <row r="52" spans="1:6" x14ac:dyDescent="0.35">
      <c r="A52" t="s">
        <v>264</v>
      </c>
      <c r="B52" t="s">
        <v>265</v>
      </c>
      <c r="C52" t="s">
        <v>258</v>
      </c>
      <c r="D52" t="s">
        <v>8</v>
      </c>
      <c r="E52">
        <v>1</v>
      </c>
      <c r="F52" t="s">
        <v>545</v>
      </c>
    </row>
    <row r="53" spans="1:6" x14ac:dyDescent="0.35">
      <c r="A53" t="s">
        <v>275</v>
      </c>
      <c r="B53" t="s">
        <v>276</v>
      </c>
      <c r="C53" t="s">
        <v>266</v>
      </c>
      <c r="D53" t="s">
        <v>165</v>
      </c>
      <c r="E53">
        <v>1</v>
      </c>
      <c r="F53" t="s">
        <v>546</v>
      </c>
    </row>
    <row r="54" spans="1:6" x14ac:dyDescent="0.35">
      <c r="A54" t="s">
        <v>277</v>
      </c>
      <c r="B54" t="s">
        <v>278</v>
      </c>
      <c r="C54" t="s">
        <v>266</v>
      </c>
      <c r="D54" t="s">
        <v>165</v>
      </c>
      <c r="E54">
        <v>1</v>
      </c>
      <c r="F54" t="s">
        <v>547</v>
      </c>
    </row>
    <row r="55" spans="1:6" x14ac:dyDescent="0.35">
      <c r="A55" t="s">
        <v>284</v>
      </c>
      <c r="B55" t="s">
        <v>285</v>
      </c>
      <c r="C55" t="s">
        <v>279</v>
      </c>
      <c r="D55" t="s">
        <v>173</v>
      </c>
      <c r="E55">
        <v>1</v>
      </c>
      <c r="F55" t="s">
        <v>548</v>
      </c>
    </row>
    <row r="56" spans="1:6" x14ac:dyDescent="0.35">
      <c r="A56" t="s">
        <v>286</v>
      </c>
      <c r="B56" t="s">
        <v>287</v>
      </c>
      <c r="C56" t="s">
        <v>279</v>
      </c>
      <c r="D56" t="s">
        <v>173</v>
      </c>
      <c r="E56">
        <v>1</v>
      </c>
      <c r="F56" t="s">
        <v>549</v>
      </c>
    </row>
    <row r="57" spans="1:6" x14ac:dyDescent="0.35">
      <c r="A57" t="s">
        <v>288</v>
      </c>
      <c r="B57" t="s">
        <v>289</v>
      </c>
      <c r="C57" t="s">
        <v>279</v>
      </c>
      <c r="D57" t="s">
        <v>173</v>
      </c>
      <c r="E57">
        <v>1</v>
      </c>
      <c r="F57" t="s">
        <v>550</v>
      </c>
    </row>
    <row r="58" spans="1:6" x14ac:dyDescent="0.35">
      <c r="A58" t="s">
        <v>290</v>
      </c>
      <c r="B58" t="s">
        <v>291</v>
      </c>
      <c r="C58" t="s">
        <v>454</v>
      </c>
      <c r="D58" t="s">
        <v>173</v>
      </c>
      <c r="E58">
        <v>3</v>
      </c>
      <c r="F58" t="s">
        <v>551</v>
      </c>
    </row>
    <row r="59" spans="1:6" x14ac:dyDescent="0.35">
      <c r="A59" t="s">
        <v>301</v>
      </c>
      <c r="B59" t="s">
        <v>302</v>
      </c>
      <c r="C59" t="s">
        <v>292</v>
      </c>
      <c r="D59" t="s">
        <v>173</v>
      </c>
      <c r="E59">
        <v>1</v>
      </c>
      <c r="F59" t="s">
        <v>552</v>
      </c>
    </row>
    <row r="60" spans="1:6" x14ac:dyDescent="0.35">
      <c r="A60" t="s">
        <v>312</v>
      </c>
      <c r="B60" t="s">
        <v>313</v>
      </c>
      <c r="C60" t="s">
        <v>307</v>
      </c>
      <c r="D60" t="s">
        <v>186</v>
      </c>
      <c r="E60">
        <v>1</v>
      </c>
      <c r="F60" t="s">
        <v>553</v>
      </c>
    </row>
    <row r="61" spans="1:6" x14ac:dyDescent="0.35">
      <c r="A61" t="s">
        <v>323</v>
      </c>
      <c r="B61" t="s">
        <v>324</v>
      </c>
      <c r="C61" t="s">
        <v>316</v>
      </c>
      <c r="D61" t="s">
        <v>226</v>
      </c>
      <c r="E61">
        <v>1</v>
      </c>
      <c r="F61" t="s">
        <v>554</v>
      </c>
    </row>
    <row r="62" spans="1:6" x14ac:dyDescent="0.35">
      <c r="A62" t="s">
        <v>325</v>
      </c>
      <c r="B62" t="s">
        <v>16</v>
      </c>
      <c r="C62" t="s">
        <v>316</v>
      </c>
      <c r="D62" t="s">
        <v>226</v>
      </c>
      <c r="E62">
        <v>1</v>
      </c>
      <c r="F62" t="s">
        <v>555</v>
      </c>
    </row>
    <row r="63" spans="1:6" x14ac:dyDescent="0.35">
      <c r="A63" t="s">
        <v>333</v>
      </c>
      <c r="B63" t="s">
        <v>305</v>
      </c>
      <c r="C63" t="s">
        <v>329</v>
      </c>
      <c r="D63" t="s">
        <v>8</v>
      </c>
      <c r="E63">
        <v>1</v>
      </c>
      <c r="F63" t="s">
        <v>556</v>
      </c>
    </row>
    <row r="64" spans="1:6" x14ac:dyDescent="0.35">
      <c r="A64" t="s">
        <v>337</v>
      </c>
      <c r="B64" t="s">
        <v>251</v>
      </c>
      <c r="C64" t="s">
        <v>334</v>
      </c>
      <c r="D64" t="s">
        <v>8</v>
      </c>
      <c r="E64">
        <v>1</v>
      </c>
      <c r="F64" t="s">
        <v>557</v>
      </c>
    </row>
    <row r="65" spans="1:6" x14ac:dyDescent="0.35">
      <c r="A65" t="s">
        <v>344</v>
      </c>
      <c r="B65" t="s">
        <v>345</v>
      </c>
      <c r="C65" t="s">
        <v>338</v>
      </c>
      <c r="D65" t="s">
        <v>62</v>
      </c>
      <c r="E65">
        <v>1</v>
      </c>
      <c r="F65" t="s">
        <v>558</v>
      </c>
    </row>
    <row r="66" spans="1:6" x14ac:dyDescent="0.35">
      <c r="A66" t="s">
        <v>346</v>
      </c>
      <c r="B66" t="s">
        <v>332</v>
      </c>
      <c r="C66" t="s">
        <v>456</v>
      </c>
      <c r="D66" t="s">
        <v>455</v>
      </c>
      <c r="E66">
        <v>10</v>
      </c>
      <c r="F66" t="s">
        <v>559</v>
      </c>
    </row>
    <row r="67" spans="1:6" x14ac:dyDescent="0.35">
      <c r="A67" t="s">
        <v>351</v>
      </c>
      <c r="B67" t="s">
        <v>352</v>
      </c>
      <c r="C67" t="s">
        <v>350</v>
      </c>
      <c r="D67" t="s">
        <v>89</v>
      </c>
      <c r="E67">
        <v>1</v>
      </c>
      <c r="F67" t="s">
        <v>560</v>
      </c>
    </row>
    <row r="68" spans="1:6" x14ac:dyDescent="0.35">
      <c r="A68" t="s">
        <v>357</v>
      </c>
      <c r="B68" t="s">
        <v>358</v>
      </c>
      <c r="C68" t="s">
        <v>353</v>
      </c>
      <c r="D68" t="s">
        <v>145</v>
      </c>
      <c r="E68">
        <v>1</v>
      </c>
      <c r="F68" t="s">
        <v>561</v>
      </c>
    </row>
    <row r="69" spans="1:6" x14ac:dyDescent="0.35">
      <c r="A69" t="s">
        <v>362</v>
      </c>
      <c r="B69" t="s">
        <v>363</v>
      </c>
      <c r="C69" t="s">
        <v>359</v>
      </c>
      <c r="D69" t="s">
        <v>165</v>
      </c>
      <c r="E69">
        <v>1</v>
      </c>
      <c r="F69" t="s">
        <v>562</v>
      </c>
    </row>
    <row r="70" spans="1:6" x14ac:dyDescent="0.35">
      <c r="A70" t="s">
        <v>364</v>
      </c>
      <c r="B70" t="s">
        <v>340</v>
      </c>
      <c r="C70" t="s">
        <v>359</v>
      </c>
      <c r="D70" t="s">
        <v>165</v>
      </c>
      <c r="E70">
        <v>1</v>
      </c>
      <c r="F70" t="s">
        <v>563</v>
      </c>
    </row>
    <row r="71" spans="1:6" x14ac:dyDescent="0.35">
      <c r="A71" t="s">
        <v>371</v>
      </c>
      <c r="B71" t="s">
        <v>372</v>
      </c>
      <c r="C71" t="s">
        <v>368</v>
      </c>
      <c r="D71" t="s">
        <v>226</v>
      </c>
      <c r="E71">
        <v>1</v>
      </c>
      <c r="F71" t="s">
        <v>564</v>
      </c>
    </row>
    <row r="72" spans="1:6" x14ac:dyDescent="0.35">
      <c r="A72" t="s">
        <v>373</v>
      </c>
      <c r="B72" t="s">
        <v>374</v>
      </c>
      <c r="C72" t="s">
        <v>368</v>
      </c>
      <c r="D72" t="s">
        <v>226</v>
      </c>
      <c r="E72">
        <v>1</v>
      </c>
      <c r="F72" t="s">
        <v>565</v>
      </c>
    </row>
    <row r="73" spans="1:6" x14ac:dyDescent="0.35">
      <c r="A73" t="s">
        <v>379</v>
      </c>
      <c r="B73" t="s">
        <v>380</v>
      </c>
      <c r="C73" t="s">
        <v>376</v>
      </c>
      <c r="D73" t="s">
        <v>8</v>
      </c>
      <c r="E73">
        <v>1</v>
      </c>
      <c r="F73" t="s">
        <v>566</v>
      </c>
    </row>
    <row r="74" spans="1:6" x14ac:dyDescent="0.35">
      <c r="A74" t="s">
        <v>381</v>
      </c>
      <c r="B74" t="s">
        <v>382</v>
      </c>
      <c r="C74" t="s">
        <v>376</v>
      </c>
      <c r="D74" t="s">
        <v>8</v>
      </c>
      <c r="E74">
        <v>1</v>
      </c>
      <c r="F74" t="s">
        <v>567</v>
      </c>
    </row>
  </sheetData>
  <pageMargins left="0.7" right="0.7" top="0.75" bottom="0.75" header="0.3" footer="0.3"/>
  <ignoredErrors>
    <ignoredError sqref="A1:E7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2CCD8-C8CE-B444-84E5-2DDDA403C453}">
  <dimension ref="A1:A72"/>
  <sheetViews>
    <sheetView workbookViewId="0">
      <selection activeCell="A2" sqref="A2:A72"/>
    </sheetView>
  </sheetViews>
  <sheetFormatPr defaultColWidth="10.6640625" defaultRowHeight="15.5" x14ac:dyDescent="0.35"/>
  <cols>
    <col min="1" max="1" width="153.83203125" bestFit="1" customWidth="1"/>
  </cols>
  <sheetData>
    <row r="1" spans="1:1" x14ac:dyDescent="0.35">
      <c r="A1" t="s">
        <v>496</v>
      </c>
    </row>
    <row r="2" spans="1:1" x14ac:dyDescent="0.35">
      <c r="A2" t="s">
        <v>497</v>
      </c>
    </row>
    <row r="3" spans="1:1" x14ac:dyDescent="0.35">
      <c r="A3" t="s">
        <v>498</v>
      </c>
    </row>
    <row r="4" spans="1:1" x14ac:dyDescent="0.35">
      <c r="A4" t="s">
        <v>499</v>
      </c>
    </row>
    <row r="5" spans="1:1" x14ac:dyDescent="0.35">
      <c r="A5" t="s">
        <v>500</v>
      </c>
    </row>
    <row r="6" spans="1:1" x14ac:dyDescent="0.35">
      <c r="A6" t="s">
        <v>501</v>
      </c>
    </row>
    <row r="7" spans="1:1" x14ac:dyDescent="0.35">
      <c r="A7" t="s">
        <v>502</v>
      </c>
    </row>
    <row r="8" spans="1:1" x14ac:dyDescent="0.35">
      <c r="A8" t="s">
        <v>503</v>
      </c>
    </row>
    <row r="9" spans="1:1" x14ac:dyDescent="0.35">
      <c r="A9" t="s">
        <v>504</v>
      </c>
    </row>
    <row r="10" spans="1:1" x14ac:dyDescent="0.35">
      <c r="A10" t="s">
        <v>505</v>
      </c>
    </row>
    <row r="11" spans="1:1" x14ac:dyDescent="0.35">
      <c r="A11" t="s">
        <v>506</v>
      </c>
    </row>
    <row r="12" spans="1:1" x14ac:dyDescent="0.35">
      <c r="A12" t="s">
        <v>507</v>
      </c>
    </row>
    <row r="13" spans="1:1" x14ac:dyDescent="0.35">
      <c r="A13" t="s">
        <v>508</v>
      </c>
    </row>
    <row r="14" spans="1:1" x14ac:dyDescent="0.35">
      <c r="A14" t="s">
        <v>509</v>
      </c>
    </row>
    <row r="15" spans="1:1" x14ac:dyDescent="0.35">
      <c r="A15" t="s">
        <v>510</v>
      </c>
    </row>
    <row r="16" spans="1:1" x14ac:dyDescent="0.35">
      <c r="A16" t="s">
        <v>511</v>
      </c>
    </row>
    <row r="17" spans="1:1" x14ac:dyDescent="0.35">
      <c r="A17" t="s">
        <v>512</v>
      </c>
    </row>
    <row r="18" spans="1:1" x14ac:dyDescent="0.35">
      <c r="A18" t="s">
        <v>513</v>
      </c>
    </row>
    <row r="19" spans="1:1" x14ac:dyDescent="0.35">
      <c r="A19" t="s">
        <v>514</v>
      </c>
    </row>
    <row r="20" spans="1:1" x14ac:dyDescent="0.35">
      <c r="A20" t="s">
        <v>515</v>
      </c>
    </row>
    <row r="21" spans="1:1" x14ac:dyDescent="0.35">
      <c r="A21" t="s">
        <v>516</v>
      </c>
    </row>
    <row r="22" spans="1:1" x14ac:dyDescent="0.35">
      <c r="A22" t="s">
        <v>517</v>
      </c>
    </row>
    <row r="23" spans="1:1" x14ac:dyDescent="0.35">
      <c r="A23" t="s">
        <v>518</v>
      </c>
    </row>
    <row r="24" spans="1:1" x14ac:dyDescent="0.35">
      <c r="A24" t="s">
        <v>519</v>
      </c>
    </row>
    <row r="25" spans="1:1" x14ac:dyDescent="0.35">
      <c r="A25" t="s">
        <v>520</v>
      </c>
    </row>
    <row r="26" spans="1:1" x14ac:dyDescent="0.35">
      <c r="A26" t="s">
        <v>521</v>
      </c>
    </row>
    <row r="27" spans="1:1" x14ac:dyDescent="0.35">
      <c r="A27" t="s">
        <v>522</v>
      </c>
    </row>
    <row r="28" spans="1:1" x14ac:dyDescent="0.35">
      <c r="A28" t="s">
        <v>523</v>
      </c>
    </row>
    <row r="29" spans="1:1" x14ac:dyDescent="0.35">
      <c r="A29" t="s">
        <v>524</v>
      </c>
    </row>
    <row r="30" spans="1:1" x14ac:dyDescent="0.35">
      <c r="A30" t="s">
        <v>525</v>
      </c>
    </row>
    <row r="31" spans="1:1" x14ac:dyDescent="0.35">
      <c r="A31" t="s">
        <v>526</v>
      </c>
    </row>
    <row r="32" spans="1:1" x14ac:dyDescent="0.35">
      <c r="A32" t="s">
        <v>527</v>
      </c>
    </row>
    <row r="33" spans="1:1" x14ac:dyDescent="0.35">
      <c r="A33" t="s">
        <v>528</v>
      </c>
    </row>
    <row r="34" spans="1:1" x14ac:dyDescent="0.35">
      <c r="A34" t="s">
        <v>529</v>
      </c>
    </row>
    <row r="35" spans="1:1" x14ac:dyDescent="0.35">
      <c r="A35" t="s">
        <v>530</v>
      </c>
    </row>
    <row r="36" spans="1:1" x14ac:dyDescent="0.35">
      <c r="A36" t="s">
        <v>531</v>
      </c>
    </row>
    <row r="37" spans="1:1" x14ac:dyDescent="0.35">
      <c r="A37" t="s">
        <v>532</v>
      </c>
    </row>
    <row r="38" spans="1:1" x14ac:dyDescent="0.35">
      <c r="A38" t="s">
        <v>533</v>
      </c>
    </row>
    <row r="39" spans="1:1" x14ac:dyDescent="0.35">
      <c r="A39" t="s">
        <v>534</v>
      </c>
    </row>
    <row r="40" spans="1:1" x14ac:dyDescent="0.35">
      <c r="A40" t="s">
        <v>535</v>
      </c>
    </row>
    <row r="41" spans="1:1" x14ac:dyDescent="0.35">
      <c r="A41" t="s">
        <v>536</v>
      </c>
    </row>
    <row r="42" spans="1:1" x14ac:dyDescent="0.35">
      <c r="A42" t="s">
        <v>537</v>
      </c>
    </row>
    <row r="43" spans="1:1" x14ac:dyDescent="0.35">
      <c r="A43" t="s">
        <v>538</v>
      </c>
    </row>
    <row r="44" spans="1:1" x14ac:dyDescent="0.35">
      <c r="A44" t="s">
        <v>539</v>
      </c>
    </row>
    <row r="45" spans="1:1" x14ac:dyDescent="0.35">
      <c r="A45" t="s">
        <v>540</v>
      </c>
    </row>
    <row r="46" spans="1:1" x14ac:dyDescent="0.35">
      <c r="A46" t="s">
        <v>541</v>
      </c>
    </row>
    <row r="47" spans="1:1" x14ac:dyDescent="0.35">
      <c r="A47" t="s">
        <v>542</v>
      </c>
    </row>
    <row r="48" spans="1:1" x14ac:dyDescent="0.35">
      <c r="A48" t="s">
        <v>543</v>
      </c>
    </row>
    <row r="49" spans="1:1" x14ac:dyDescent="0.35">
      <c r="A49" t="s">
        <v>544</v>
      </c>
    </row>
    <row r="50" spans="1:1" x14ac:dyDescent="0.35">
      <c r="A50" t="s">
        <v>545</v>
      </c>
    </row>
    <row r="51" spans="1:1" x14ac:dyDescent="0.35">
      <c r="A51" t="s">
        <v>546</v>
      </c>
    </row>
    <row r="52" spans="1:1" x14ac:dyDescent="0.35">
      <c r="A52" t="s">
        <v>547</v>
      </c>
    </row>
    <row r="53" spans="1:1" x14ac:dyDescent="0.35">
      <c r="A53" t="s">
        <v>548</v>
      </c>
    </row>
    <row r="54" spans="1:1" x14ac:dyDescent="0.35">
      <c r="A54" t="s">
        <v>549</v>
      </c>
    </row>
    <row r="55" spans="1:1" x14ac:dyDescent="0.35">
      <c r="A55" t="s">
        <v>550</v>
      </c>
    </row>
    <row r="56" spans="1:1" x14ac:dyDescent="0.35">
      <c r="A56" t="s">
        <v>551</v>
      </c>
    </row>
    <row r="57" spans="1:1" x14ac:dyDescent="0.35">
      <c r="A57" t="s">
        <v>552</v>
      </c>
    </row>
    <row r="58" spans="1:1" x14ac:dyDescent="0.35">
      <c r="A58" t="s">
        <v>553</v>
      </c>
    </row>
    <row r="59" spans="1:1" x14ac:dyDescent="0.35">
      <c r="A59" t="s">
        <v>554</v>
      </c>
    </row>
    <row r="60" spans="1:1" x14ac:dyDescent="0.35">
      <c r="A60" t="s">
        <v>555</v>
      </c>
    </row>
    <row r="61" spans="1:1" x14ac:dyDescent="0.35">
      <c r="A61" t="s">
        <v>556</v>
      </c>
    </row>
    <row r="62" spans="1:1" x14ac:dyDescent="0.35">
      <c r="A62" t="s">
        <v>557</v>
      </c>
    </row>
    <row r="63" spans="1:1" x14ac:dyDescent="0.35">
      <c r="A63" t="s">
        <v>558</v>
      </c>
    </row>
    <row r="64" spans="1:1" x14ac:dyDescent="0.35">
      <c r="A64" t="s">
        <v>559</v>
      </c>
    </row>
    <row r="65" spans="1:1" x14ac:dyDescent="0.35">
      <c r="A65" t="s">
        <v>560</v>
      </c>
    </row>
    <row r="66" spans="1:1" x14ac:dyDescent="0.35">
      <c r="A66" t="s">
        <v>561</v>
      </c>
    </row>
    <row r="67" spans="1:1" x14ac:dyDescent="0.35">
      <c r="A67" t="s">
        <v>562</v>
      </c>
    </row>
    <row r="68" spans="1:1" x14ac:dyDescent="0.35">
      <c r="A68" t="s">
        <v>563</v>
      </c>
    </row>
    <row r="69" spans="1:1" x14ac:dyDescent="0.35">
      <c r="A69" t="s">
        <v>564</v>
      </c>
    </row>
    <row r="70" spans="1:1" x14ac:dyDescent="0.35">
      <c r="A70" t="s">
        <v>565</v>
      </c>
    </row>
    <row r="71" spans="1:1" x14ac:dyDescent="0.35">
      <c r="A71" t="s">
        <v>566</v>
      </c>
    </row>
    <row r="72" spans="1:1" x14ac:dyDescent="0.35">
      <c r="A72" t="s">
        <v>567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A13BA-4B29-425E-8E5C-1F3D5D0E8A7D}">
  <dimension ref="A1:A59"/>
  <sheetViews>
    <sheetView zoomScale="60" zoomScaleNormal="60" workbookViewId="0">
      <selection sqref="A1:A59"/>
    </sheetView>
  </sheetViews>
  <sheetFormatPr defaultColWidth="8.83203125" defaultRowHeight="15.5" x14ac:dyDescent="0.35"/>
  <cols>
    <col min="1" max="1" width="113.6640625" customWidth="1"/>
  </cols>
  <sheetData>
    <row r="1" spans="1:1" x14ac:dyDescent="0.35">
      <c r="A1" s="63" t="s">
        <v>483</v>
      </c>
    </row>
    <row r="2" spans="1:1" x14ac:dyDescent="0.35">
      <c r="A2" s="64"/>
    </row>
    <row r="3" spans="1:1" x14ac:dyDescent="0.35">
      <c r="A3" s="64"/>
    </row>
    <row r="4" spans="1:1" x14ac:dyDescent="0.35">
      <c r="A4" s="64"/>
    </row>
    <row r="5" spans="1:1" x14ac:dyDescent="0.35">
      <c r="A5" s="64"/>
    </row>
    <row r="6" spans="1:1" x14ac:dyDescent="0.35">
      <c r="A6" s="64"/>
    </row>
    <row r="7" spans="1:1" x14ac:dyDescent="0.35">
      <c r="A7" s="64"/>
    </row>
    <row r="8" spans="1:1" x14ac:dyDescent="0.35">
      <c r="A8" s="64"/>
    </row>
    <row r="9" spans="1:1" x14ac:dyDescent="0.35">
      <c r="A9" s="64"/>
    </row>
    <row r="10" spans="1:1" x14ac:dyDescent="0.35">
      <c r="A10" s="64"/>
    </row>
    <row r="11" spans="1:1" x14ac:dyDescent="0.35">
      <c r="A11" s="64"/>
    </row>
    <row r="12" spans="1:1" x14ac:dyDescent="0.35">
      <c r="A12" s="64"/>
    </row>
    <row r="13" spans="1:1" x14ac:dyDescent="0.35">
      <c r="A13" s="64"/>
    </row>
    <row r="14" spans="1:1" x14ac:dyDescent="0.35">
      <c r="A14" s="64"/>
    </row>
    <row r="15" spans="1:1" x14ac:dyDescent="0.35">
      <c r="A15" s="64"/>
    </row>
    <row r="16" spans="1:1" x14ac:dyDescent="0.35">
      <c r="A16" s="64"/>
    </row>
    <row r="17" spans="1:1" x14ac:dyDescent="0.35">
      <c r="A17" s="64"/>
    </row>
    <row r="18" spans="1:1" x14ac:dyDescent="0.35">
      <c r="A18" s="64"/>
    </row>
    <row r="19" spans="1:1" x14ac:dyDescent="0.35">
      <c r="A19" s="64"/>
    </row>
    <row r="20" spans="1:1" x14ac:dyDescent="0.35">
      <c r="A20" s="64"/>
    </row>
    <row r="21" spans="1:1" x14ac:dyDescent="0.35">
      <c r="A21" s="64"/>
    </row>
    <row r="22" spans="1:1" x14ac:dyDescent="0.35">
      <c r="A22" s="64"/>
    </row>
    <row r="23" spans="1:1" x14ac:dyDescent="0.35">
      <c r="A23" s="64"/>
    </row>
    <row r="24" spans="1:1" x14ac:dyDescent="0.35">
      <c r="A24" s="64"/>
    </row>
    <row r="25" spans="1:1" x14ac:dyDescent="0.35">
      <c r="A25" s="64"/>
    </row>
    <row r="26" spans="1:1" x14ac:dyDescent="0.35">
      <c r="A26" s="64"/>
    </row>
    <row r="27" spans="1:1" x14ac:dyDescent="0.35">
      <c r="A27" s="64"/>
    </row>
    <row r="28" spans="1:1" x14ac:dyDescent="0.35">
      <c r="A28" s="64"/>
    </row>
    <row r="29" spans="1:1" x14ac:dyDescent="0.35">
      <c r="A29" s="64"/>
    </row>
    <row r="30" spans="1:1" x14ac:dyDescent="0.35">
      <c r="A30" s="64"/>
    </row>
    <row r="31" spans="1:1" x14ac:dyDescent="0.35">
      <c r="A31" s="64"/>
    </row>
    <row r="32" spans="1:1" x14ac:dyDescent="0.35">
      <c r="A32" s="64"/>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39" spans="1:1" x14ac:dyDescent="0.35">
      <c r="A39" s="64"/>
    </row>
    <row r="40" spans="1:1" x14ac:dyDescent="0.35">
      <c r="A40" s="64"/>
    </row>
    <row r="41" spans="1:1" x14ac:dyDescent="0.35">
      <c r="A41" s="64"/>
    </row>
    <row r="42" spans="1:1" x14ac:dyDescent="0.35">
      <c r="A42" s="64"/>
    </row>
    <row r="43" spans="1:1" x14ac:dyDescent="0.35">
      <c r="A43" s="64"/>
    </row>
    <row r="44" spans="1:1" x14ac:dyDescent="0.35">
      <c r="A44" s="64"/>
    </row>
    <row r="45" spans="1:1" x14ac:dyDescent="0.35">
      <c r="A45" s="64"/>
    </row>
    <row r="46" spans="1:1" x14ac:dyDescent="0.35">
      <c r="A46" s="64"/>
    </row>
    <row r="47" spans="1:1" x14ac:dyDescent="0.35">
      <c r="A47" s="64"/>
    </row>
    <row r="48" spans="1:1" x14ac:dyDescent="0.35">
      <c r="A48" s="64"/>
    </row>
    <row r="49" spans="1:1" x14ac:dyDescent="0.35">
      <c r="A49" s="64"/>
    </row>
    <row r="50" spans="1: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4"/>
    </row>
    <row r="59" spans="1:1" x14ac:dyDescent="0.35">
      <c r="A59" s="64"/>
    </row>
  </sheetData>
  <mergeCells count="1">
    <mergeCell ref="A1:A5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201D6-7ACC-415F-9756-E43496827C8E}">
  <dimension ref="A1:C31"/>
  <sheetViews>
    <sheetView workbookViewId="0">
      <selection activeCell="B22" sqref="B22"/>
    </sheetView>
  </sheetViews>
  <sheetFormatPr defaultColWidth="10.6640625" defaultRowHeight="15.5" x14ac:dyDescent="0.35"/>
  <cols>
    <col min="1" max="1" width="10.6640625" style="3"/>
    <col min="2" max="2" width="17.5" customWidth="1"/>
  </cols>
  <sheetData>
    <row r="1" spans="1:3" ht="18.5" x14ac:dyDescent="0.45">
      <c r="A1" s="2" t="s">
        <v>484</v>
      </c>
      <c r="B1" s="1" t="s">
        <v>485</v>
      </c>
    </row>
    <row r="2" spans="1:3" x14ac:dyDescent="0.35">
      <c r="A2" s="3">
        <v>1</v>
      </c>
      <c r="B2" t="s">
        <v>487</v>
      </c>
    </row>
    <row r="3" spans="1:3" x14ac:dyDescent="0.35">
      <c r="A3" s="3">
        <v>2</v>
      </c>
      <c r="B3" t="s">
        <v>487</v>
      </c>
    </row>
    <row r="4" spans="1:3" x14ac:dyDescent="0.35">
      <c r="A4" s="3">
        <v>3</v>
      </c>
      <c r="B4" t="s">
        <v>488</v>
      </c>
    </row>
    <row r="5" spans="1:3" x14ac:dyDescent="0.35">
      <c r="A5" s="3">
        <v>4</v>
      </c>
      <c r="B5" t="s">
        <v>487</v>
      </c>
      <c r="C5" t="s">
        <v>492</v>
      </c>
    </row>
    <row r="6" spans="1:3" x14ac:dyDescent="0.35">
      <c r="A6" s="3">
        <v>5</v>
      </c>
      <c r="B6" t="s">
        <v>486</v>
      </c>
      <c r="C6" t="s">
        <v>493</v>
      </c>
    </row>
    <row r="7" spans="1:3" x14ac:dyDescent="0.35">
      <c r="A7" s="3">
        <v>6</v>
      </c>
      <c r="B7" t="s">
        <v>489</v>
      </c>
    </row>
    <row r="8" spans="1:3" x14ac:dyDescent="0.35">
      <c r="A8" s="3">
        <v>7</v>
      </c>
      <c r="B8" t="s">
        <v>488</v>
      </c>
    </row>
    <row r="9" spans="1:3" x14ac:dyDescent="0.35">
      <c r="A9" s="3">
        <v>8</v>
      </c>
      <c r="B9" t="s">
        <v>487</v>
      </c>
    </row>
    <row r="10" spans="1:3" x14ac:dyDescent="0.35">
      <c r="A10" s="3">
        <v>9</v>
      </c>
      <c r="B10" t="s">
        <v>488</v>
      </c>
    </row>
    <row r="11" spans="1:3" x14ac:dyDescent="0.35">
      <c r="A11" s="3">
        <v>10</v>
      </c>
      <c r="B11" t="s">
        <v>487</v>
      </c>
    </row>
    <row r="12" spans="1:3" x14ac:dyDescent="0.35">
      <c r="A12" s="3">
        <v>11</v>
      </c>
      <c r="B12" t="s">
        <v>487</v>
      </c>
    </row>
    <row r="13" spans="1:3" x14ac:dyDescent="0.35">
      <c r="A13" s="3">
        <v>12</v>
      </c>
      <c r="B13" t="s">
        <v>487</v>
      </c>
    </row>
    <row r="14" spans="1:3" x14ac:dyDescent="0.35">
      <c r="A14" s="3">
        <v>13</v>
      </c>
      <c r="B14" t="s">
        <v>487</v>
      </c>
    </row>
    <row r="15" spans="1:3" x14ac:dyDescent="0.35">
      <c r="A15" s="3">
        <v>14</v>
      </c>
      <c r="B15" t="s">
        <v>486</v>
      </c>
    </row>
    <row r="16" spans="1:3" x14ac:dyDescent="0.35">
      <c r="A16" s="3">
        <v>15</v>
      </c>
      <c r="B16" t="s">
        <v>488</v>
      </c>
    </row>
    <row r="17" spans="1:2" x14ac:dyDescent="0.35">
      <c r="A17" s="3">
        <v>16</v>
      </c>
      <c r="B17" t="s">
        <v>489</v>
      </c>
    </row>
    <row r="18" spans="1:2" x14ac:dyDescent="0.35">
      <c r="A18" s="3">
        <v>17</v>
      </c>
      <c r="B18" t="s">
        <v>487</v>
      </c>
    </row>
    <row r="19" spans="1:2" x14ac:dyDescent="0.35">
      <c r="A19" s="3">
        <v>18</v>
      </c>
      <c r="B19" t="s">
        <v>486</v>
      </c>
    </row>
    <row r="20" spans="1:2" x14ac:dyDescent="0.35">
      <c r="A20" s="3">
        <v>19</v>
      </c>
      <c r="B20" t="s">
        <v>487</v>
      </c>
    </row>
    <row r="21" spans="1:2" x14ac:dyDescent="0.35">
      <c r="A21" s="3">
        <v>20</v>
      </c>
      <c r="B21" t="s">
        <v>489</v>
      </c>
    </row>
    <row r="22" spans="1:2" x14ac:dyDescent="0.35">
      <c r="A22" s="3">
        <v>21</v>
      </c>
      <c r="B22" t="s">
        <v>489</v>
      </c>
    </row>
    <row r="23" spans="1:2" x14ac:dyDescent="0.35">
      <c r="A23" s="3">
        <v>22</v>
      </c>
    </row>
    <row r="24" spans="1:2" x14ac:dyDescent="0.35">
      <c r="A24" s="3">
        <v>23</v>
      </c>
    </row>
    <row r="25" spans="1:2" x14ac:dyDescent="0.35">
      <c r="A25" s="3">
        <v>24</v>
      </c>
    </row>
    <row r="26" spans="1:2" x14ac:dyDescent="0.35">
      <c r="A26" s="3">
        <v>25</v>
      </c>
    </row>
    <row r="27" spans="1:2" x14ac:dyDescent="0.35">
      <c r="A27" s="3">
        <v>26</v>
      </c>
    </row>
    <row r="28" spans="1:2" x14ac:dyDescent="0.35">
      <c r="A28" s="3">
        <v>27</v>
      </c>
    </row>
    <row r="29" spans="1:2" x14ac:dyDescent="0.35">
      <c r="A29" s="3">
        <v>28</v>
      </c>
    </row>
    <row r="30" spans="1:2" x14ac:dyDescent="0.35">
      <c r="A30" s="3">
        <v>29</v>
      </c>
    </row>
    <row r="31" spans="1:2" x14ac:dyDescent="0.35">
      <c r="A31" s="3">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1CC85-676C-47E8-89F2-2AD2C28446C5}">
  <dimension ref="A1:C31"/>
  <sheetViews>
    <sheetView workbookViewId="0">
      <selection activeCell="C22" sqref="C22"/>
    </sheetView>
  </sheetViews>
  <sheetFormatPr defaultColWidth="10.6640625" defaultRowHeight="15.5" x14ac:dyDescent="0.35"/>
  <cols>
    <col min="1" max="1" width="10.6640625" style="3"/>
    <col min="2" max="2" width="17.5" customWidth="1"/>
  </cols>
  <sheetData>
    <row r="1" spans="1:2" ht="18.5" x14ac:dyDescent="0.45">
      <c r="A1" s="2" t="s">
        <v>484</v>
      </c>
      <c r="B1" s="1" t="s">
        <v>485</v>
      </c>
    </row>
    <row r="2" spans="1:2" x14ac:dyDescent="0.35">
      <c r="A2" s="3">
        <v>1</v>
      </c>
      <c r="B2" t="s">
        <v>489</v>
      </c>
    </row>
    <row r="3" spans="1:2" x14ac:dyDescent="0.35">
      <c r="A3" s="3">
        <v>2</v>
      </c>
      <c r="B3" t="s">
        <v>487</v>
      </c>
    </row>
    <row r="4" spans="1:2" x14ac:dyDescent="0.35">
      <c r="A4" s="3">
        <v>3</v>
      </c>
      <c r="B4" t="s">
        <v>488</v>
      </c>
    </row>
    <row r="5" spans="1:2" x14ac:dyDescent="0.35">
      <c r="A5" s="3">
        <v>4</v>
      </c>
      <c r="B5" t="s">
        <v>488</v>
      </c>
    </row>
    <row r="6" spans="1:2" x14ac:dyDescent="0.35">
      <c r="A6" s="3">
        <v>5</v>
      </c>
      <c r="B6" t="s">
        <v>486</v>
      </c>
    </row>
    <row r="7" spans="1:2" x14ac:dyDescent="0.35">
      <c r="A7" s="3">
        <v>6</v>
      </c>
      <c r="B7" t="s">
        <v>488</v>
      </c>
    </row>
    <row r="8" spans="1:2" x14ac:dyDescent="0.35">
      <c r="A8" s="3">
        <v>7</v>
      </c>
      <c r="B8" t="s">
        <v>487</v>
      </c>
    </row>
    <row r="9" spans="1:2" x14ac:dyDescent="0.35">
      <c r="A9" s="3">
        <v>8</v>
      </c>
      <c r="B9" t="s">
        <v>487</v>
      </c>
    </row>
    <row r="10" spans="1:2" x14ac:dyDescent="0.35">
      <c r="A10" s="3">
        <v>9</v>
      </c>
      <c r="B10" t="s">
        <v>488</v>
      </c>
    </row>
    <row r="11" spans="1:2" x14ac:dyDescent="0.35">
      <c r="A11" s="3">
        <v>10</v>
      </c>
      <c r="B11" t="s">
        <v>487</v>
      </c>
    </row>
    <row r="12" spans="1:2" x14ac:dyDescent="0.35">
      <c r="A12" s="3">
        <v>11</v>
      </c>
      <c r="B12" t="s">
        <v>486</v>
      </c>
    </row>
    <row r="13" spans="1:2" x14ac:dyDescent="0.35">
      <c r="A13" s="3">
        <v>12</v>
      </c>
      <c r="B13" t="s">
        <v>487</v>
      </c>
    </row>
    <row r="14" spans="1:2" x14ac:dyDescent="0.35">
      <c r="A14" s="3">
        <v>13</v>
      </c>
      <c r="B14" t="s">
        <v>489</v>
      </c>
    </row>
    <row r="15" spans="1:2" x14ac:dyDescent="0.35">
      <c r="A15" s="3">
        <v>14</v>
      </c>
      <c r="B15" t="s">
        <v>488</v>
      </c>
    </row>
    <row r="16" spans="1:2" x14ac:dyDescent="0.35">
      <c r="A16" s="3">
        <v>15</v>
      </c>
      <c r="B16" t="s">
        <v>489</v>
      </c>
    </row>
    <row r="17" spans="1:3" x14ac:dyDescent="0.35">
      <c r="A17" s="3">
        <v>16</v>
      </c>
      <c r="B17" t="s">
        <v>487</v>
      </c>
    </row>
    <row r="18" spans="1:3" x14ac:dyDescent="0.35">
      <c r="A18" s="3">
        <v>17</v>
      </c>
      <c r="B18" t="s">
        <v>487</v>
      </c>
    </row>
    <row r="19" spans="1:3" x14ac:dyDescent="0.35">
      <c r="A19" s="3">
        <v>18</v>
      </c>
      <c r="B19" t="s">
        <v>488</v>
      </c>
    </row>
    <row r="20" spans="1:3" x14ac:dyDescent="0.35">
      <c r="A20" s="3">
        <v>19</v>
      </c>
      <c r="B20" t="s">
        <v>489</v>
      </c>
    </row>
    <row r="21" spans="1:3" x14ac:dyDescent="0.35">
      <c r="A21" s="3">
        <v>20</v>
      </c>
      <c r="B21" t="s">
        <v>486</v>
      </c>
    </row>
    <row r="22" spans="1:3" x14ac:dyDescent="0.35">
      <c r="A22" s="3">
        <v>21</v>
      </c>
      <c r="C22" s="4">
        <f>1-(3/20)</f>
        <v>0.85</v>
      </c>
    </row>
    <row r="23" spans="1:3" x14ac:dyDescent="0.35">
      <c r="A23" s="3">
        <v>22</v>
      </c>
    </row>
    <row r="24" spans="1:3" x14ac:dyDescent="0.35">
      <c r="A24" s="3">
        <v>23</v>
      </c>
    </row>
    <row r="25" spans="1:3" x14ac:dyDescent="0.35">
      <c r="A25" s="3">
        <v>24</v>
      </c>
    </row>
    <row r="26" spans="1:3" x14ac:dyDescent="0.35">
      <c r="A26" s="3">
        <v>25</v>
      </c>
    </row>
    <row r="27" spans="1:3" x14ac:dyDescent="0.35">
      <c r="A27" s="3">
        <v>26</v>
      </c>
    </row>
    <row r="28" spans="1:3" x14ac:dyDescent="0.35">
      <c r="A28" s="3">
        <v>27</v>
      </c>
    </row>
    <row r="29" spans="1:3" x14ac:dyDescent="0.35">
      <c r="A29" s="3">
        <v>28</v>
      </c>
    </row>
    <row r="30" spans="1:3" x14ac:dyDescent="0.35">
      <c r="A30" s="3">
        <v>29</v>
      </c>
    </row>
    <row r="31" spans="1:3" x14ac:dyDescent="0.35">
      <c r="A31" s="3">
        <v>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2946-099A-8A46-AB1F-F9692D34928E}">
  <dimension ref="A1:C31"/>
  <sheetViews>
    <sheetView workbookViewId="0">
      <selection activeCell="F28" sqref="F28"/>
    </sheetView>
  </sheetViews>
  <sheetFormatPr defaultColWidth="10.6640625" defaultRowHeight="15.5" x14ac:dyDescent="0.35"/>
  <cols>
    <col min="1" max="1" width="10.83203125" style="3"/>
    <col min="2" max="2" width="17.5" customWidth="1"/>
  </cols>
  <sheetData>
    <row r="1" spans="1:2" ht="18.5" x14ac:dyDescent="0.45">
      <c r="A1" s="2" t="s">
        <v>484</v>
      </c>
      <c r="B1" s="1" t="s">
        <v>485</v>
      </c>
    </row>
    <row r="2" spans="1:2" x14ac:dyDescent="0.35">
      <c r="A2" s="3">
        <v>1</v>
      </c>
      <c r="B2" t="s">
        <v>486</v>
      </c>
    </row>
    <row r="3" spans="1:2" x14ac:dyDescent="0.35">
      <c r="A3" s="3">
        <v>2</v>
      </c>
      <c r="B3" t="s">
        <v>487</v>
      </c>
    </row>
    <row r="4" spans="1:2" x14ac:dyDescent="0.35">
      <c r="A4" s="3">
        <v>3</v>
      </c>
      <c r="B4" t="s">
        <v>488</v>
      </c>
    </row>
    <row r="5" spans="1:2" x14ac:dyDescent="0.35">
      <c r="A5" s="3">
        <v>4</v>
      </c>
      <c r="B5" t="s">
        <v>489</v>
      </c>
    </row>
    <row r="6" spans="1:2" x14ac:dyDescent="0.35">
      <c r="A6" s="3">
        <v>5</v>
      </c>
      <c r="B6" t="s">
        <v>487</v>
      </c>
    </row>
    <row r="7" spans="1:2" x14ac:dyDescent="0.35">
      <c r="A7" s="3">
        <v>6</v>
      </c>
      <c r="B7" t="s">
        <v>486</v>
      </c>
    </row>
    <row r="8" spans="1:2" x14ac:dyDescent="0.35">
      <c r="A8" s="3">
        <v>7</v>
      </c>
      <c r="B8" t="s">
        <v>488</v>
      </c>
    </row>
    <row r="9" spans="1:2" x14ac:dyDescent="0.35">
      <c r="A9" s="3">
        <v>8</v>
      </c>
      <c r="B9" t="s">
        <v>488</v>
      </c>
    </row>
    <row r="10" spans="1:2" x14ac:dyDescent="0.35">
      <c r="A10" s="3">
        <v>9</v>
      </c>
      <c r="B10" t="s">
        <v>487</v>
      </c>
    </row>
    <row r="11" spans="1:2" x14ac:dyDescent="0.35">
      <c r="A11" s="3">
        <v>10</v>
      </c>
      <c r="B11" t="s">
        <v>486</v>
      </c>
    </row>
    <row r="12" spans="1:2" x14ac:dyDescent="0.35">
      <c r="A12" s="3">
        <v>11</v>
      </c>
      <c r="B12" t="s">
        <v>487</v>
      </c>
    </row>
    <row r="13" spans="1:2" x14ac:dyDescent="0.35">
      <c r="A13" s="3">
        <v>12</v>
      </c>
      <c r="B13" t="s">
        <v>488</v>
      </c>
    </row>
    <row r="14" spans="1:2" x14ac:dyDescent="0.35">
      <c r="A14" s="3">
        <v>13</v>
      </c>
      <c r="B14" t="s">
        <v>488</v>
      </c>
    </row>
    <row r="15" spans="1:2" x14ac:dyDescent="0.35">
      <c r="A15" s="3">
        <v>14</v>
      </c>
      <c r="B15" t="s">
        <v>488</v>
      </c>
    </row>
    <row r="16" spans="1:2" x14ac:dyDescent="0.35">
      <c r="A16" s="3">
        <v>15</v>
      </c>
      <c r="B16" t="s">
        <v>486</v>
      </c>
    </row>
    <row r="17" spans="1:3" x14ac:dyDescent="0.35">
      <c r="A17" s="3">
        <v>16</v>
      </c>
      <c r="B17" t="s">
        <v>487</v>
      </c>
    </row>
    <row r="18" spans="1:3" x14ac:dyDescent="0.35">
      <c r="A18" s="3">
        <v>17</v>
      </c>
      <c r="B18" t="s">
        <v>486</v>
      </c>
    </row>
    <row r="19" spans="1:3" x14ac:dyDescent="0.35">
      <c r="A19" s="3">
        <v>18</v>
      </c>
      <c r="B19" t="s">
        <v>489</v>
      </c>
    </row>
    <row r="20" spans="1:3" x14ac:dyDescent="0.35">
      <c r="A20" s="3">
        <v>19</v>
      </c>
      <c r="B20" t="s">
        <v>489</v>
      </c>
    </row>
    <row r="21" spans="1:3" x14ac:dyDescent="0.35">
      <c r="A21" s="3">
        <v>20</v>
      </c>
      <c r="B21" t="s">
        <v>488</v>
      </c>
    </row>
    <row r="22" spans="1:3" x14ac:dyDescent="0.35">
      <c r="A22" s="3">
        <v>21</v>
      </c>
      <c r="B22" t="s">
        <v>488</v>
      </c>
    </row>
    <row r="23" spans="1:3" x14ac:dyDescent="0.35">
      <c r="A23" s="3">
        <v>22</v>
      </c>
      <c r="B23" t="s">
        <v>488</v>
      </c>
    </row>
    <row r="24" spans="1:3" x14ac:dyDescent="0.35">
      <c r="A24" s="3">
        <v>23</v>
      </c>
      <c r="B24" t="s">
        <v>489</v>
      </c>
    </row>
    <row r="25" spans="1:3" x14ac:dyDescent="0.35">
      <c r="A25" s="3">
        <v>24</v>
      </c>
      <c r="B25" t="s">
        <v>486</v>
      </c>
    </row>
    <row r="26" spans="1:3" x14ac:dyDescent="0.35">
      <c r="A26" s="3">
        <v>25</v>
      </c>
      <c r="B26" t="s">
        <v>486</v>
      </c>
      <c r="C26" t="s">
        <v>490</v>
      </c>
    </row>
    <row r="27" spans="1:3" x14ac:dyDescent="0.35">
      <c r="A27" s="3">
        <v>26</v>
      </c>
      <c r="B27" t="s">
        <v>489</v>
      </c>
    </row>
    <row r="28" spans="1:3" x14ac:dyDescent="0.35">
      <c r="A28" s="3">
        <v>27</v>
      </c>
      <c r="B28" t="s">
        <v>488</v>
      </c>
    </row>
    <row r="29" spans="1:3" x14ac:dyDescent="0.35">
      <c r="A29" s="3">
        <v>28</v>
      </c>
      <c r="B29" t="s">
        <v>487</v>
      </c>
    </row>
    <row r="30" spans="1:3" x14ac:dyDescent="0.35">
      <c r="A30" s="3">
        <v>29</v>
      </c>
      <c r="B30" t="s">
        <v>487</v>
      </c>
    </row>
    <row r="31" spans="1:3" x14ac:dyDescent="0.35">
      <c r="A31" s="3">
        <v>30</v>
      </c>
      <c r="B31" t="s">
        <v>488</v>
      </c>
      <c r="C31" t="s">
        <v>491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5C6F5-9037-7B4A-908E-8E1EB7796907}">
  <dimension ref="A1:C31"/>
  <sheetViews>
    <sheetView workbookViewId="0">
      <selection activeCell="F28" sqref="F28"/>
    </sheetView>
  </sheetViews>
  <sheetFormatPr defaultColWidth="10.6640625" defaultRowHeight="15.5" x14ac:dyDescent="0.35"/>
  <cols>
    <col min="1" max="1" width="10.83203125" style="3"/>
    <col min="2" max="2" width="17.5" customWidth="1"/>
  </cols>
  <sheetData>
    <row r="1" spans="1:2" ht="18.5" x14ac:dyDescent="0.45">
      <c r="A1" s="2" t="s">
        <v>484</v>
      </c>
      <c r="B1" s="1" t="s">
        <v>485</v>
      </c>
    </row>
    <row r="2" spans="1:2" x14ac:dyDescent="0.35">
      <c r="A2" s="3">
        <v>1</v>
      </c>
      <c r="B2" t="s">
        <v>489</v>
      </c>
    </row>
    <row r="3" spans="1:2" x14ac:dyDescent="0.35">
      <c r="A3" s="3">
        <v>2</v>
      </c>
      <c r="B3" t="s">
        <v>489</v>
      </c>
    </row>
    <row r="4" spans="1:2" x14ac:dyDescent="0.35">
      <c r="A4" s="3">
        <v>3</v>
      </c>
      <c r="B4" t="s">
        <v>489</v>
      </c>
    </row>
    <row r="5" spans="1:2" x14ac:dyDescent="0.35">
      <c r="A5" s="3">
        <v>4</v>
      </c>
      <c r="B5" s="9" t="s">
        <v>489</v>
      </c>
    </row>
    <row r="6" spans="1:2" x14ac:dyDescent="0.35">
      <c r="A6" s="3">
        <v>5</v>
      </c>
      <c r="B6" t="s">
        <v>488</v>
      </c>
    </row>
    <row r="7" spans="1:2" x14ac:dyDescent="0.35">
      <c r="A7" s="3">
        <v>6</v>
      </c>
      <c r="B7" t="s">
        <v>487</v>
      </c>
    </row>
    <row r="8" spans="1:2" x14ac:dyDescent="0.35">
      <c r="A8" s="3">
        <v>7</v>
      </c>
      <c r="B8" t="s">
        <v>486</v>
      </c>
    </row>
    <row r="9" spans="1:2" x14ac:dyDescent="0.35">
      <c r="A9" s="3">
        <v>8</v>
      </c>
      <c r="B9" t="s">
        <v>489</v>
      </c>
    </row>
    <row r="10" spans="1:2" x14ac:dyDescent="0.35">
      <c r="A10" s="3">
        <v>9</v>
      </c>
      <c r="B10" t="s">
        <v>488</v>
      </c>
    </row>
    <row r="11" spans="1:2" x14ac:dyDescent="0.35">
      <c r="A11" s="3">
        <v>10</v>
      </c>
      <c r="B11" t="s">
        <v>487</v>
      </c>
    </row>
    <row r="12" spans="1:2" x14ac:dyDescent="0.35">
      <c r="A12" s="3">
        <v>11</v>
      </c>
      <c r="B12" t="s">
        <v>487</v>
      </c>
    </row>
    <row r="13" spans="1:2" x14ac:dyDescent="0.35">
      <c r="A13" s="3">
        <v>12</v>
      </c>
      <c r="B13" s="9" t="s">
        <v>486</v>
      </c>
    </row>
    <row r="14" spans="1:2" x14ac:dyDescent="0.35">
      <c r="A14" s="3">
        <v>13</v>
      </c>
      <c r="B14" s="9" t="s">
        <v>487</v>
      </c>
    </row>
    <row r="15" spans="1:2" x14ac:dyDescent="0.35">
      <c r="A15" s="3">
        <v>14</v>
      </c>
      <c r="B15" t="s">
        <v>486</v>
      </c>
    </row>
    <row r="16" spans="1:2" x14ac:dyDescent="0.35">
      <c r="A16" s="3">
        <v>15</v>
      </c>
      <c r="B16" s="9" t="s">
        <v>487</v>
      </c>
    </row>
    <row r="17" spans="1:3" x14ac:dyDescent="0.35">
      <c r="A17" s="3">
        <v>16</v>
      </c>
      <c r="B17" t="s">
        <v>488</v>
      </c>
    </row>
    <row r="18" spans="1:3" x14ac:dyDescent="0.35">
      <c r="A18" s="3">
        <v>17</v>
      </c>
      <c r="B18" s="9" t="s">
        <v>488</v>
      </c>
    </row>
    <row r="19" spans="1:3" x14ac:dyDescent="0.35">
      <c r="A19" s="3">
        <v>18</v>
      </c>
      <c r="B19" t="s">
        <v>487</v>
      </c>
    </row>
    <row r="20" spans="1:3" x14ac:dyDescent="0.35">
      <c r="A20" s="3">
        <v>19</v>
      </c>
      <c r="B20" t="s">
        <v>489</v>
      </c>
    </row>
    <row r="21" spans="1:3" x14ac:dyDescent="0.35">
      <c r="A21" s="3">
        <v>20</v>
      </c>
      <c r="B21" t="s">
        <v>489</v>
      </c>
    </row>
    <row r="22" spans="1:3" x14ac:dyDescent="0.35">
      <c r="A22" s="3">
        <v>21</v>
      </c>
      <c r="B22" t="s">
        <v>486</v>
      </c>
    </row>
    <row r="23" spans="1:3" x14ac:dyDescent="0.35">
      <c r="A23" s="3">
        <v>22</v>
      </c>
      <c r="B23" t="s">
        <v>488</v>
      </c>
    </row>
    <row r="24" spans="1:3" x14ac:dyDescent="0.35">
      <c r="A24" s="3">
        <v>23</v>
      </c>
      <c r="B24" t="s">
        <v>487</v>
      </c>
    </row>
    <row r="25" spans="1:3" x14ac:dyDescent="0.35">
      <c r="A25" s="3">
        <v>24</v>
      </c>
      <c r="B25" t="s">
        <v>487</v>
      </c>
    </row>
    <row r="26" spans="1:3" x14ac:dyDescent="0.35">
      <c r="A26" s="3">
        <v>25</v>
      </c>
      <c r="C26" s="8">
        <v>0.79166666666666663</v>
      </c>
    </row>
    <row r="27" spans="1:3" x14ac:dyDescent="0.35">
      <c r="A27" s="3">
        <v>26</v>
      </c>
    </row>
    <row r="28" spans="1:3" x14ac:dyDescent="0.35">
      <c r="A28" s="3">
        <v>27</v>
      </c>
    </row>
    <row r="29" spans="1:3" x14ac:dyDescent="0.35">
      <c r="A29" s="3">
        <v>28</v>
      </c>
    </row>
    <row r="30" spans="1:3" x14ac:dyDescent="0.35">
      <c r="A30" s="3">
        <v>29</v>
      </c>
    </row>
    <row r="31" spans="1:3" x14ac:dyDescent="0.35">
      <c r="A31" s="3">
        <v>30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073E2-9FAF-4B81-AF8F-B48D92B52D9F}">
  <dimension ref="A1:C33"/>
  <sheetViews>
    <sheetView workbookViewId="0">
      <selection activeCell="F18" sqref="F18"/>
    </sheetView>
  </sheetViews>
  <sheetFormatPr defaultColWidth="10.6640625" defaultRowHeight="15.5" x14ac:dyDescent="0.35"/>
  <cols>
    <col min="1" max="1" width="10.6640625" style="3"/>
    <col min="2" max="2" width="17.5" customWidth="1"/>
  </cols>
  <sheetData>
    <row r="1" spans="1:2" ht="18.5" x14ac:dyDescent="0.45">
      <c r="A1" s="2" t="s">
        <v>484</v>
      </c>
      <c r="B1" s="1" t="s">
        <v>485</v>
      </c>
    </row>
    <row r="2" spans="1:2" x14ac:dyDescent="0.35">
      <c r="A2" s="3">
        <v>1</v>
      </c>
      <c r="B2" t="s">
        <v>489</v>
      </c>
    </row>
    <row r="3" spans="1:2" x14ac:dyDescent="0.35">
      <c r="A3" s="3">
        <v>2</v>
      </c>
      <c r="B3" t="s">
        <v>487</v>
      </c>
    </row>
    <row r="4" spans="1:2" x14ac:dyDescent="0.35">
      <c r="A4" s="3">
        <v>3</v>
      </c>
      <c r="B4" s="7" t="s">
        <v>486</v>
      </c>
    </row>
    <row r="5" spans="1:2" x14ac:dyDescent="0.35">
      <c r="A5" s="3">
        <v>4</v>
      </c>
      <c r="B5" s="7" t="s">
        <v>489</v>
      </c>
    </row>
    <row r="6" spans="1:2" x14ac:dyDescent="0.35">
      <c r="A6" s="3">
        <v>5</v>
      </c>
      <c r="B6" t="s">
        <v>487</v>
      </c>
    </row>
    <row r="7" spans="1:2" x14ac:dyDescent="0.35">
      <c r="A7" s="3">
        <v>6</v>
      </c>
      <c r="B7" t="s">
        <v>489</v>
      </c>
    </row>
    <row r="8" spans="1:2" x14ac:dyDescent="0.35">
      <c r="A8" s="3">
        <v>7</v>
      </c>
      <c r="B8" t="s">
        <v>486</v>
      </c>
    </row>
    <row r="9" spans="1:2" x14ac:dyDescent="0.35">
      <c r="A9" s="3">
        <v>8</v>
      </c>
      <c r="B9" t="s">
        <v>489</v>
      </c>
    </row>
    <row r="10" spans="1:2" x14ac:dyDescent="0.35">
      <c r="A10" s="3">
        <v>9</v>
      </c>
      <c r="B10" t="s">
        <v>486</v>
      </c>
    </row>
    <row r="11" spans="1:2" x14ac:dyDescent="0.35">
      <c r="A11" s="3">
        <v>10</v>
      </c>
      <c r="B11" t="s">
        <v>488</v>
      </c>
    </row>
    <row r="12" spans="1:2" x14ac:dyDescent="0.35">
      <c r="A12" s="3">
        <v>11</v>
      </c>
      <c r="B12" t="s">
        <v>486</v>
      </c>
    </row>
    <row r="13" spans="1:2" x14ac:dyDescent="0.35">
      <c r="A13" s="3">
        <v>12</v>
      </c>
      <c r="B13" t="s">
        <v>489</v>
      </c>
    </row>
    <row r="14" spans="1:2" x14ac:dyDescent="0.35">
      <c r="A14" s="3">
        <v>13</v>
      </c>
      <c r="B14" s="7" t="s">
        <v>486</v>
      </c>
    </row>
    <row r="15" spans="1:2" x14ac:dyDescent="0.35">
      <c r="A15" s="3">
        <v>14</v>
      </c>
      <c r="B15" s="7" t="s">
        <v>487</v>
      </c>
    </row>
    <row r="16" spans="1:2" x14ac:dyDescent="0.35">
      <c r="A16" s="3">
        <v>15</v>
      </c>
      <c r="B16" s="7" t="s">
        <v>489</v>
      </c>
    </row>
    <row r="17" spans="1:2" x14ac:dyDescent="0.35">
      <c r="A17" s="3">
        <v>16</v>
      </c>
      <c r="B17" s="7" t="s">
        <v>486</v>
      </c>
    </row>
    <row r="18" spans="1:2" x14ac:dyDescent="0.35">
      <c r="A18" s="3">
        <v>17</v>
      </c>
      <c r="B18" s="7" t="s">
        <v>488</v>
      </c>
    </row>
    <row r="19" spans="1:2" x14ac:dyDescent="0.35">
      <c r="A19" s="3">
        <v>18</v>
      </c>
      <c r="B19" t="s">
        <v>486</v>
      </c>
    </row>
    <row r="20" spans="1:2" x14ac:dyDescent="0.35">
      <c r="A20" s="3">
        <v>19</v>
      </c>
      <c r="B20" t="s">
        <v>489</v>
      </c>
    </row>
    <row r="21" spans="1:2" x14ac:dyDescent="0.35">
      <c r="A21" s="3">
        <v>20</v>
      </c>
      <c r="B21" t="s">
        <v>489</v>
      </c>
    </row>
    <row r="22" spans="1:2" x14ac:dyDescent="0.35">
      <c r="A22" s="3">
        <v>21</v>
      </c>
      <c r="B22" s="7" t="s">
        <v>486</v>
      </c>
    </row>
    <row r="23" spans="1:2" x14ac:dyDescent="0.35">
      <c r="A23" s="3">
        <v>22</v>
      </c>
      <c r="B23" t="s">
        <v>487</v>
      </c>
    </row>
    <row r="24" spans="1:2" x14ac:dyDescent="0.35">
      <c r="A24" s="3">
        <v>23</v>
      </c>
      <c r="B24" t="s">
        <v>488</v>
      </c>
    </row>
    <row r="25" spans="1:2" x14ac:dyDescent="0.35">
      <c r="A25" s="3">
        <v>24</v>
      </c>
      <c r="B25" t="s">
        <v>486</v>
      </c>
    </row>
    <row r="26" spans="1:2" x14ac:dyDescent="0.35">
      <c r="A26" s="3">
        <v>25</v>
      </c>
      <c r="B26" t="s">
        <v>488</v>
      </c>
    </row>
    <row r="27" spans="1:2" x14ac:dyDescent="0.35">
      <c r="A27" s="3">
        <v>26</v>
      </c>
      <c r="B27" t="s">
        <v>489</v>
      </c>
    </row>
    <row r="28" spans="1:2" x14ac:dyDescent="0.35">
      <c r="A28" s="3">
        <v>27</v>
      </c>
      <c r="B28" t="s">
        <v>489</v>
      </c>
    </row>
    <row r="29" spans="1:2" x14ac:dyDescent="0.35">
      <c r="A29" s="3">
        <v>28</v>
      </c>
      <c r="B29" t="s">
        <v>486</v>
      </c>
    </row>
    <row r="30" spans="1:2" x14ac:dyDescent="0.35">
      <c r="A30" s="3">
        <v>29</v>
      </c>
      <c r="B30" t="s">
        <v>486</v>
      </c>
    </row>
    <row r="31" spans="1:2" x14ac:dyDescent="0.35">
      <c r="A31" s="3">
        <v>30</v>
      </c>
      <c r="B31" t="s">
        <v>487</v>
      </c>
    </row>
    <row r="32" spans="1:2" x14ac:dyDescent="0.35">
      <c r="B32" t="s">
        <v>487</v>
      </c>
    </row>
    <row r="33" spans="2:3" x14ac:dyDescent="0.35">
      <c r="B33" t="s">
        <v>568</v>
      </c>
      <c r="C33" s="8">
        <f>1-(8/31)</f>
        <v>0.74193548387096775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C5368-3EDC-40CB-9BB2-1236C3F3E0E9}">
  <dimension ref="A1:C33"/>
  <sheetViews>
    <sheetView workbookViewId="0">
      <selection activeCell="D27" sqref="D27"/>
    </sheetView>
  </sheetViews>
  <sheetFormatPr defaultColWidth="10.6640625" defaultRowHeight="15.5" x14ac:dyDescent="0.35"/>
  <cols>
    <col min="1" max="1" width="10.6640625" style="3"/>
    <col min="2" max="2" width="17.5" customWidth="1"/>
  </cols>
  <sheetData>
    <row r="1" spans="1:2" ht="18.5" x14ac:dyDescent="0.45">
      <c r="A1" s="2" t="s">
        <v>484</v>
      </c>
      <c r="B1" s="1" t="s">
        <v>485</v>
      </c>
    </row>
    <row r="2" spans="1:2" x14ac:dyDescent="0.35">
      <c r="A2" s="3">
        <v>1</v>
      </c>
      <c r="B2" t="s">
        <v>487</v>
      </c>
    </row>
    <row r="3" spans="1:2" x14ac:dyDescent="0.35">
      <c r="A3" s="3">
        <v>2</v>
      </c>
      <c r="B3" t="s">
        <v>487</v>
      </c>
    </row>
    <row r="4" spans="1:2" x14ac:dyDescent="0.35">
      <c r="A4" s="3">
        <v>3</v>
      </c>
      <c r="B4" s="7" t="s">
        <v>489</v>
      </c>
    </row>
    <row r="5" spans="1:2" x14ac:dyDescent="0.35">
      <c r="A5" s="3">
        <v>4</v>
      </c>
      <c r="B5" s="11" t="s">
        <v>487</v>
      </c>
    </row>
    <row r="6" spans="1:2" x14ac:dyDescent="0.35">
      <c r="A6" s="3">
        <v>5</v>
      </c>
      <c r="B6" s="11" t="s">
        <v>488</v>
      </c>
    </row>
    <row r="7" spans="1:2" x14ac:dyDescent="0.35">
      <c r="A7" s="3">
        <v>6</v>
      </c>
      <c r="B7" s="11" t="s">
        <v>488</v>
      </c>
    </row>
    <row r="8" spans="1:2" x14ac:dyDescent="0.35">
      <c r="A8" s="3">
        <v>7</v>
      </c>
      <c r="B8" s="11" t="s">
        <v>487</v>
      </c>
    </row>
    <row r="9" spans="1:2" x14ac:dyDescent="0.35">
      <c r="A9" s="3">
        <v>8</v>
      </c>
      <c r="B9" s="11" t="s">
        <v>488</v>
      </c>
    </row>
    <row r="10" spans="1:2" x14ac:dyDescent="0.35">
      <c r="A10" s="3">
        <v>9</v>
      </c>
      <c r="B10" s="11" t="s">
        <v>488</v>
      </c>
    </row>
    <row r="11" spans="1:2" x14ac:dyDescent="0.35">
      <c r="A11" s="3">
        <v>10</v>
      </c>
      <c r="B11" s="11" t="s">
        <v>489</v>
      </c>
    </row>
    <row r="12" spans="1:2" x14ac:dyDescent="0.35">
      <c r="A12" s="3">
        <v>11</v>
      </c>
      <c r="B12" s="11" t="s">
        <v>489</v>
      </c>
    </row>
    <row r="13" spans="1:2" x14ac:dyDescent="0.35">
      <c r="A13" s="3">
        <v>12</v>
      </c>
      <c r="B13" s="7" t="s">
        <v>488</v>
      </c>
    </row>
    <row r="14" spans="1:2" x14ac:dyDescent="0.35">
      <c r="A14" s="3">
        <v>13</v>
      </c>
      <c r="B14" s="11" t="s">
        <v>488</v>
      </c>
    </row>
    <row r="15" spans="1:2" x14ac:dyDescent="0.35">
      <c r="A15" s="3">
        <v>14</v>
      </c>
      <c r="B15" s="11" t="s">
        <v>486</v>
      </c>
    </row>
    <row r="16" spans="1:2" x14ac:dyDescent="0.35">
      <c r="A16" s="3">
        <v>15</v>
      </c>
      <c r="B16" s="11" t="s">
        <v>489</v>
      </c>
    </row>
    <row r="17" spans="1:2" x14ac:dyDescent="0.35">
      <c r="A17" s="3">
        <v>16</v>
      </c>
      <c r="B17" s="11" t="s">
        <v>487</v>
      </c>
    </row>
    <row r="18" spans="1:2" x14ac:dyDescent="0.35">
      <c r="A18" s="3">
        <v>17</v>
      </c>
      <c r="B18" s="7" t="s">
        <v>489</v>
      </c>
    </row>
    <row r="19" spans="1:2" x14ac:dyDescent="0.35">
      <c r="A19" s="3">
        <v>18</v>
      </c>
      <c r="B19" s="7" t="s">
        <v>487</v>
      </c>
    </row>
    <row r="20" spans="1:2" x14ac:dyDescent="0.35">
      <c r="A20" s="3">
        <v>19</v>
      </c>
      <c r="B20" s="7" t="s">
        <v>486</v>
      </c>
    </row>
    <row r="21" spans="1:2" x14ac:dyDescent="0.35">
      <c r="A21" s="3">
        <v>20</v>
      </c>
      <c r="B21" s="11" t="s">
        <v>489</v>
      </c>
    </row>
    <row r="22" spans="1:2" x14ac:dyDescent="0.35">
      <c r="A22" s="3">
        <v>21</v>
      </c>
      <c r="B22" s="7" t="s">
        <v>487</v>
      </c>
    </row>
    <row r="23" spans="1:2" x14ac:dyDescent="0.35">
      <c r="A23" s="3">
        <v>22</v>
      </c>
      <c r="B23" s="7" t="s">
        <v>486</v>
      </c>
    </row>
    <row r="24" spans="1:2" x14ac:dyDescent="0.35">
      <c r="A24" s="3">
        <v>23</v>
      </c>
      <c r="B24" s="11" t="s">
        <v>489</v>
      </c>
    </row>
    <row r="25" spans="1:2" x14ac:dyDescent="0.35">
      <c r="A25" s="3">
        <v>24</v>
      </c>
      <c r="B25" s="11" t="s">
        <v>487</v>
      </c>
    </row>
    <row r="26" spans="1:2" x14ac:dyDescent="0.35">
      <c r="A26" s="3">
        <v>25</v>
      </c>
      <c r="B26" s="7" t="s">
        <v>486</v>
      </c>
    </row>
    <row r="27" spans="1:2" x14ac:dyDescent="0.35">
      <c r="A27" s="3">
        <v>26</v>
      </c>
      <c r="B27" s="7" t="s">
        <v>487</v>
      </c>
    </row>
    <row r="28" spans="1:2" x14ac:dyDescent="0.35">
      <c r="A28" s="3">
        <v>27</v>
      </c>
      <c r="B28" s="11" t="s">
        <v>486</v>
      </c>
    </row>
    <row r="29" spans="1:2" x14ac:dyDescent="0.35">
      <c r="A29" s="3">
        <v>28</v>
      </c>
      <c r="B29" s="11" t="s">
        <v>488</v>
      </c>
    </row>
    <row r="30" spans="1:2" x14ac:dyDescent="0.35">
      <c r="A30" s="3">
        <v>29</v>
      </c>
      <c r="B30" s="11"/>
    </row>
    <row r="31" spans="1:2" x14ac:dyDescent="0.35">
      <c r="A31" s="3">
        <v>30</v>
      </c>
      <c r="B31" s="11"/>
    </row>
    <row r="33" spans="2:3" x14ac:dyDescent="0.35">
      <c r="B33" t="s">
        <v>568</v>
      </c>
      <c r="C33" s="8">
        <f>1-(9/28)</f>
        <v>0.6785714285714286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8292A-1345-42A0-987A-80BEB89E4B07}">
  <dimension ref="A1:C33"/>
  <sheetViews>
    <sheetView topLeftCell="A13" workbookViewId="0">
      <selection sqref="A1:C33"/>
    </sheetView>
  </sheetViews>
  <sheetFormatPr defaultColWidth="10.6640625" defaultRowHeight="15.5" x14ac:dyDescent="0.35"/>
  <cols>
    <col min="1" max="1" width="10.6640625" style="3"/>
    <col min="2" max="2" width="17.5" customWidth="1"/>
  </cols>
  <sheetData>
    <row r="1" spans="1:2" ht="18.5" x14ac:dyDescent="0.45">
      <c r="A1" s="2" t="s">
        <v>484</v>
      </c>
      <c r="B1" s="1" t="s">
        <v>485</v>
      </c>
    </row>
    <row r="2" spans="1:2" x14ac:dyDescent="0.35">
      <c r="A2" s="3">
        <v>1</v>
      </c>
      <c r="B2" t="s">
        <v>488</v>
      </c>
    </row>
    <row r="3" spans="1:2" x14ac:dyDescent="0.35">
      <c r="A3" s="3">
        <v>2</v>
      </c>
      <c r="B3" s="7" t="s">
        <v>489</v>
      </c>
    </row>
    <row r="4" spans="1:2" x14ac:dyDescent="0.35">
      <c r="A4" s="3">
        <v>3</v>
      </c>
      <c r="B4" t="s">
        <v>487</v>
      </c>
    </row>
    <row r="5" spans="1:2" x14ac:dyDescent="0.35">
      <c r="A5" s="3">
        <v>4</v>
      </c>
      <c r="B5" t="s">
        <v>486</v>
      </c>
    </row>
    <row r="6" spans="1:2" x14ac:dyDescent="0.35">
      <c r="A6" s="3">
        <v>5</v>
      </c>
      <c r="B6" t="s">
        <v>489</v>
      </c>
    </row>
    <row r="7" spans="1:2" x14ac:dyDescent="0.35">
      <c r="A7" s="3">
        <v>6</v>
      </c>
      <c r="B7" t="s">
        <v>488</v>
      </c>
    </row>
    <row r="8" spans="1:2" x14ac:dyDescent="0.35">
      <c r="A8" s="3">
        <v>7</v>
      </c>
      <c r="B8" t="s">
        <v>486</v>
      </c>
    </row>
    <row r="9" spans="1:2" x14ac:dyDescent="0.35">
      <c r="A9" s="3">
        <v>8</v>
      </c>
      <c r="B9" t="s">
        <v>489</v>
      </c>
    </row>
    <row r="10" spans="1:2" x14ac:dyDescent="0.35">
      <c r="A10" s="3">
        <v>9</v>
      </c>
      <c r="B10" t="s">
        <v>489</v>
      </c>
    </row>
    <row r="11" spans="1:2" x14ac:dyDescent="0.35">
      <c r="A11" s="3">
        <v>10</v>
      </c>
      <c r="B11" t="s">
        <v>486</v>
      </c>
    </row>
    <row r="12" spans="1:2" x14ac:dyDescent="0.35">
      <c r="A12" s="3">
        <v>11</v>
      </c>
      <c r="B12" t="s">
        <v>488</v>
      </c>
    </row>
    <row r="13" spans="1:2" x14ac:dyDescent="0.35">
      <c r="A13" s="3">
        <v>12</v>
      </c>
      <c r="B13" t="s">
        <v>487</v>
      </c>
    </row>
    <row r="14" spans="1:2" x14ac:dyDescent="0.35">
      <c r="A14" s="3">
        <v>13</v>
      </c>
      <c r="B14" s="7" t="s">
        <v>488</v>
      </c>
    </row>
    <row r="15" spans="1:2" x14ac:dyDescent="0.35">
      <c r="A15" s="3">
        <v>14</v>
      </c>
      <c r="B15" t="s">
        <v>487</v>
      </c>
    </row>
    <row r="16" spans="1:2" x14ac:dyDescent="0.35">
      <c r="A16" s="3">
        <v>15</v>
      </c>
      <c r="B16" s="7" t="s">
        <v>486</v>
      </c>
    </row>
    <row r="17" spans="1:2" x14ac:dyDescent="0.35">
      <c r="A17" s="3">
        <v>16</v>
      </c>
      <c r="B17" t="s">
        <v>489</v>
      </c>
    </row>
    <row r="18" spans="1:2" x14ac:dyDescent="0.35">
      <c r="A18" s="3">
        <v>17</v>
      </c>
      <c r="B18" t="s">
        <v>487</v>
      </c>
    </row>
    <row r="19" spans="1:2" x14ac:dyDescent="0.35">
      <c r="A19" s="3">
        <v>18</v>
      </c>
      <c r="B19" s="7" t="s">
        <v>486</v>
      </c>
    </row>
    <row r="20" spans="1:2" x14ac:dyDescent="0.35">
      <c r="A20" s="3">
        <v>19</v>
      </c>
      <c r="B20" t="s">
        <v>488</v>
      </c>
    </row>
    <row r="21" spans="1:2" x14ac:dyDescent="0.35">
      <c r="A21" s="3">
        <v>20</v>
      </c>
      <c r="B21" t="s">
        <v>486</v>
      </c>
    </row>
    <row r="22" spans="1:2" x14ac:dyDescent="0.35">
      <c r="A22" s="3">
        <v>21</v>
      </c>
      <c r="B22" s="7" t="s">
        <v>489</v>
      </c>
    </row>
    <row r="23" spans="1:2" x14ac:dyDescent="0.35">
      <c r="A23" s="3">
        <v>22</v>
      </c>
      <c r="B23" s="7" t="s">
        <v>486</v>
      </c>
    </row>
    <row r="24" spans="1:2" x14ac:dyDescent="0.35">
      <c r="A24" s="3">
        <v>23</v>
      </c>
      <c r="B24" s="7" t="s">
        <v>488</v>
      </c>
    </row>
    <row r="25" spans="1:2" x14ac:dyDescent="0.35">
      <c r="A25" s="3">
        <v>24</v>
      </c>
      <c r="B25" s="7" t="s">
        <v>489</v>
      </c>
    </row>
    <row r="26" spans="1:2" x14ac:dyDescent="0.35">
      <c r="A26" s="3">
        <v>25</v>
      </c>
      <c r="B26" s="7" t="s">
        <v>486</v>
      </c>
    </row>
    <row r="27" spans="1:2" x14ac:dyDescent="0.35">
      <c r="A27" s="3">
        <v>26</v>
      </c>
      <c r="B27" s="7" t="s">
        <v>486</v>
      </c>
    </row>
    <row r="28" spans="1:2" x14ac:dyDescent="0.35">
      <c r="A28" s="3">
        <v>27</v>
      </c>
      <c r="B28" t="s">
        <v>489</v>
      </c>
    </row>
    <row r="29" spans="1:2" x14ac:dyDescent="0.35">
      <c r="A29" s="3">
        <v>28</v>
      </c>
    </row>
    <row r="30" spans="1:2" x14ac:dyDescent="0.35">
      <c r="A30" s="3">
        <v>29</v>
      </c>
    </row>
    <row r="31" spans="1:2" x14ac:dyDescent="0.35">
      <c r="A31" s="3">
        <v>30</v>
      </c>
    </row>
    <row r="33" spans="2:3" x14ac:dyDescent="0.35">
      <c r="B33" t="s">
        <v>568</v>
      </c>
      <c r="C33" s="8">
        <f>1-(9/27)</f>
        <v>0.66666666666666674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71"/>
  <sheetViews>
    <sheetView zoomScale="80" zoomScaleNormal="80" workbookViewId="0">
      <selection activeCell="F143" sqref="F143"/>
    </sheetView>
  </sheetViews>
  <sheetFormatPr defaultColWidth="8.83203125" defaultRowHeight="15.5" x14ac:dyDescent="0.35"/>
  <cols>
    <col min="1" max="1" width="35.83203125" customWidth="1"/>
    <col min="2" max="2" width="25.83203125" customWidth="1"/>
    <col min="3" max="3" width="20.83203125" customWidth="1"/>
    <col min="4" max="4" width="15.83203125" customWidth="1"/>
    <col min="5" max="5" width="10.83203125" customWidth="1"/>
    <col min="6" max="6" width="40.83203125" customWidth="1"/>
    <col min="7" max="7" width="13.1640625" customWidth="1"/>
  </cols>
  <sheetData>
    <row r="1" spans="1:7" x14ac:dyDescent="0.35">
      <c r="A1" t="s">
        <v>0</v>
      </c>
      <c r="B1" t="s">
        <v>1</v>
      </c>
      <c r="C1" t="s">
        <v>2</v>
      </c>
      <c r="D1" t="s">
        <v>3</v>
      </c>
      <c r="E1" t="s">
        <v>4</v>
      </c>
      <c r="F1" t="s">
        <v>5</v>
      </c>
      <c r="G1" t="s">
        <v>6</v>
      </c>
    </row>
    <row r="2" spans="1:7" hidden="1" x14ac:dyDescent="0.35">
      <c r="A2" t="s">
        <v>7</v>
      </c>
      <c r="B2" t="s">
        <v>8</v>
      </c>
      <c r="C2" t="s">
        <v>9</v>
      </c>
      <c r="D2" t="s">
        <v>10</v>
      </c>
      <c r="E2" t="s">
        <v>11</v>
      </c>
      <c r="F2" t="s">
        <v>12</v>
      </c>
      <c r="G2">
        <v>1</v>
      </c>
    </row>
    <row r="3" spans="1:7" hidden="1" x14ac:dyDescent="0.35">
      <c r="A3" t="s">
        <v>7</v>
      </c>
      <c r="B3" t="s">
        <v>8</v>
      </c>
      <c r="C3" t="s">
        <v>9</v>
      </c>
      <c r="D3" t="s">
        <v>10</v>
      </c>
      <c r="E3" t="s">
        <v>13</v>
      </c>
      <c r="F3" t="s">
        <v>14</v>
      </c>
      <c r="G3">
        <v>1</v>
      </c>
    </row>
    <row r="4" spans="1:7" hidden="1" x14ac:dyDescent="0.35">
      <c r="A4" t="s">
        <v>7</v>
      </c>
      <c r="B4" t="s">
        <v>8</v>
      </c>
      <c r="C4" t="s">
        <v>9</v>
      </c>
      <c r="D4" t="s">
        <v>10</v>
      </c>
      <c r="E4" t="s">
        <v>15</v>
      </c>
      <c r="F4" t="s">
        <v>16</v>
      </c>
      <c r="G4">
        <v>11</v>
      </c>
    </row>
    <row r="5" spans="1:7" hidden="1" x14ac:dyDescent="0.35">
      <c r="A5" t="s">
        <v>7</v>
      </c>
      <c r="B5" t="s">
        <v>8</v>
      </c>
      <c r="C5" t="s">
        <v>9</v>
      </c>
      <c r="D5" t="s">
        <v>10</v>
      </c>
      <c r="E5" t="s">
        <v>17</v>
      </c>
      <c r="F5" t="s">
        <v>18</v>
      </c>
      <c r="G5">
        <v>40</v>
      </c>
    </row>
    <row r="6" spans="1:7" hidden="1" x14ac:dyDescent="0.35">
      <c r="A6" t="s">
        <v>7</v>
      </c>
      <c r="B6" t="s">
        <v>8</v>
      </c>
      <c r="C6" t="s">
        <v>9</v>
      </c>
      <c r="D6" t="s">
        <v>10</v>
      </c>
      <c r="E6" t="s">
        <v>19</v>
      </c>
      <c r="F6" t="s">
        <v>20</v>
      </c>
      <c r="G6">
        <v>46</v>
      </c>
    </row>
    <row r="7" spans="1:7" hidden="1" x14ac:dyDescent="0.35">
      <c r="A7" t="s">
        <v>7</v>
      </c>
      <c r="B7" t="s">
        <v>8</v>
      </c>
      <c r="C7" t="s">
        <v>9</v>
      </c>
      <c r="D7" t="s">
        <v>21</v>
      </c>
      <c r="E7" t="s">
        <v>22</v>
      </c>
      <c r="F7" t="s">
        <v>23</v>
      </c>
      <c r="G7">
        <v>36</v>
      </c>
    </row>
    <row r="8" spans="1:7" hidden="1" x14ac:dyDescent="0.35">
      <c r="A8" t="s">
        <v>7</v>
      </c>
      <c r="B8" t="s">
        <v>8</v>
      </c>
      <c r="C8" t="s">
        <v>9</v>
      </c>
      <c r="D8" t="s">
        <v>21</v>
      </c>
      <c r="E8" t="s">
        <v>24</v>
      </c>
      <c r="F8" t="s">
        <v>25</v>
      </c>
      <c r="G8">
        <v>13</v>
      </c>
    </row>
    <row r="9" spans="1:7" hidden="1" x14ac:dyDescent="0.35">
      <c r="A9" t="s">
        <v>7</v>
      </c>
      <c r="B9" t="s">
        <v>8</v>
      </c>
      <c r="C9" t="s">
        <v>9</v>
      </c>
      <c r="D9" t="s">
        <v>21</v>
      </c>
      <c r="E9" t="s">
        <v>26</v>
      </c>
      <c r="F9" t="s">
        <v>27</v>
      </c>
      <c r="G9">
        <v>21</v>
      </c>
    </row>
    <row r="10" spans="1:7" hidden="1" x14ac:dyDescent="0.35">
      <c r="A10" t="s">
        <v>7</v>
      </c>
      <c r="B10" t="s">
        <v>8</v>
      </c>
      <c r="C10" t="s">
        <v>9</v>
      </c>
      <c r="D10" t="s">
        <v>21</v>
      </c>
      <c r="E10" t="s">
        <v>28</v>
      </c>
      <c r="F10" t="s">
        <v>29</v>
      </c>
      <c r="G10">
        <v>28</v>
      </c>
    </row>
    <row r="11" spans="1:7" hidden="1" x14ac:dyDescent="0.35">
      <c r="A11" t="s">
        <v>7</v>
      </c>
      <c r="B11" t="s">
        <v>8</v>
      </c>
      <c r="C11" t="s">
        <v>9</v>
      </c>
      <c r="D11" t="s">
        <v>30</v>
      </c>
      <c r="E11" t="s">
        <v>31</v>
      </c>
      <c r="F11" t="s">
        <v>32</v>
      </c>
      <c r="G11">
        <v>1</v>
      </c>
    </row>
    <row r="12" spans="1:7" hidden="1" x14ac:dyDescent="0.35">
      <c r="A12" t="s">
        <v>7</v>
      </c>
      <c r="B12" t="s">
        <v>8</v>
      </c>
      <c r="C12" t="s">
        <v>9</v>
      </c>
      <c r="D12" t="s">
        <v>30</v>
      </c>
      <c r="E12" t="s">
        <v>33</v>
      </c>
      <c r="F12" t="s">
        <v>34</v>
      </c>
      <c r="G12">
        <v>1</v>
      </c>
    </row>
    <row r="13" spans="1:7" hidden="1" x14ac:dyDescent="0.35">
      <c r="A13" t="s">
        <v>35</v>
      </c>
      <c r="B13" t="s">
        <v>36</v>
      </c>
      <c r="C13" t="s">
        <v>9</v>
      </c>
      <c r="D13" t="s">
        <v>10</v>
      </c>
      <c r="E13" t="s">
        <v>37</v>
      </c>
      <c r="F13" t="s">
        <v>32</v>
      </c>
      <c r="G13">
        <v>14</v>
      </c>
    </row>
    <row r="14" spans="1:7" hidden="1" x14ac:dyDescent="0.35">
      <c r="A14" t="s">
        <v>35</v>
      </c>
      <c r="B14" t="s">
        <v>36</v>
      </c>
      <c r="C14" t="s">
        <v>9</v>
      </c>
      <c r="D14" t="s">
        <v>10</v>
      </c>
      <c r="E14" t="s">
        <v>38</v>
      </c>
      <c r="F14" t="s">
        <v>39</v>
      </c>
      <c r="G14">
        <v>5</v>
      </c>
    </row>
    <row r="15" spans="1:7" hidden="1" x14ac:dyDescent="0.35">
      <c r="A15" t="s">
        <v>35</v>
      </c>
      <c r="B15" t="s">
        <v>36</v>
      </c>
      <c r="C15" t="s">
        <v>9</v>
      </c>
      <c r="D15" t="s">
        <v>10</v>
      </c>
      <c r="E15" t="s">
        <v>40</v>
      </c>
      <c r="F15" t="s">
        <v>41</v>
      </c>
      <c r="G15">
        <v>47</v>
      </c>
    </row>
    <row r="16" spans="1:7" hidden="1" x14ac:dyDescent="0.35">
      <c r="A16" t="s">
        <v>35</v>
      </c>
      <c r="B16" t="s">
        <v>36</v>
      </c>
      <c r="C16" t="s">
        <v>9</v>
      </c>
      <c r="D16" t="s">
        <v>10</v>
      </c>
      <c r="E16" t="s">
        <v>42</v>
      </c>
      <c r="F16" t="s">
        <v>43</v>
      </c>
      <c r="G16">
        <v>43</v>
      </c>
    </row>
    <row r="17" spans="1:7" hidden="1" x14ac:dyDescent="0.35">
      <c r="A17" t="s">
        <v>35</v>
      </c>
      <c r="B17" t="s">
        <v>36</v>
      </c>
      <c r="C17" t="s">
        <v>9</v>
      </c>
      <c r="D17" t="s">
        <v>10</v>
      </c>
      <c r="E17" t="s">
        <v>15</v>
      </c>
      <c r="F17" t="s">
        <v>16</v>
      </c>
      <c r="G17">
        <v>11</v>
      </c>
    </row>
    <row r="18" spans="1:7" hidden="1" x14ac:dyDescent="0.35">
      <c r="A18" t="s">
        <v>35</v>
      </c>
      <c r="B18" t="s">
        <v>36</v>
      </c>
      <c r="C18" t="s">
        <v>9</v>
      </c>
      <c r="D18" t="s">
        <v>10</v>
      </c>
      <c r="E18" t="s">
        <v>17</v>
      </c>
      <c r="F18" t="s">
        <v>18</v>
      </c>
      <c r="G18">
        <v>40</v>
      </c>
    </row>
    <row r="19" spans="1:7" hidden="1" x14ac:dyDescent="0.35">
      <c r="A19" t="s">
        <v>35</v>
      </c>
      <c r="B19" t="s">
        <v>36</v>
      </c>
      <c r="C19" t="s">
        <v>9</v>
      </c>
      <c r="D19" t="s">
        <v>10</v>
      </c>
      <c r="E19" t="s">
        <v>19</v>
      </c>
      <c r="F19" t="s">
        <v>20</v>
      </c>
      <c r="G19">
        <v>46</v>
      </c>
    </row>
    <row r="20" spans="1:7" hidden="1" x14ac:dyDescent="0.35">
      <c r="A20" t="s">
        <v>35</v>
      </c>
      <c r="B20" t="s">
        <v>36</v>
      </c>
      <c r="C20" t="s">
        <v>9</v>
      </c>
      <c r="D20" t="s">
        <v>21</v>
      </c>
      <c r="E20" t="s">
        <v>22</v>
      </c>
      <c r="F20" t="s">
        <v>23</v>
      </c>
      <c r="G20">
        <v>36</v>
      </c>
    </row>
    <row r="21" spans="1:7" hidden="1" x14ac:dyDescent="0.35">
      <c r="A21" t="s">
        <v>35</v>
      </c>
      <c r="B21" t="s">
        <v>36</v>
      </c>
      <c r="C21" t="s">
        <v>9</v>
      </c>
      <c r="D21" t="s">
        <v>21</v>
      </c>
      <c r="E21" t="s">
        <v>24</v>
      </c>
      <c r="F21" t="s">
        <v>25</v>
      </c>
      <c r="G21">
        <v>13</v>
      </c>
    </row>
    <row r="22" spans="1:7" hidden="1" x14ac:dyDescent="0.35">
      <c r="A22" t="s">
        <v>35</v>
      </c>
      <c r="B22" t="s">
        <v>36</v>
      </c>
      <c r="C22" t="s">
        <v>9</v>
      </c>
      <c r="D22" t="s">
        <v>21</v>
      </c>
      <c r="E22" t="s">
        <v>44</v>
      </c>
      <c r="F22" t="s">
        <v>45</v>
      </c>
      <c r="G22">
        <v>32</v>
      </c>
    </row>
    <row r="23" spans="1:7" hidden="1" x14ac:dyDescent="0.35">
      <c r="A23" t="s">
        <v>35</v>
      </c>
      <c r="B23" t="s">
        <v>36</v>
      </c>
      <c r="C23" t="s">
        <v>9</v>
      </c>
      <c r="D23" t="s">
        <v>21</v>
      </c>
      <c r="E23" t="s">
        <v>46</v>
      </c>
      <c r="F23" t="s">
        <v>47</v>
      </c>
      <c r="G23">
        <v>11</v>
      </c>
    </row>
    <row r="24" spans="1:7" hidden="1" x14ac:dyDescent="0.35">
      <c r="A24" t="s">
        <v>35</v>
      </c>
      <c r="B24" t="s">
        <v>36</v>
      </c>
      <c r="C24" t="s">
        <v>9</v>
      </c>
      <c r="D24" t="s">
        <v>21</v>
      </c>
      <c r="E24" t="s">
        <v>26</v>
      </c>
      <c r="F24" t="s">
        <v>27</v>
      </c>
      <c r="G24">
        <v>21</v>
      </c>
    </row>
    <row r="25" spans="1:7" hidden="1" x14ac:dyDescent="0.35">
      <c r="A25" t="s">
        <v>35</v>
      </c>
      <c r="B25" t="s">
        <v>36</v>
      </c>
      <c r="C25" t="s">
        <v>9</v>
      </c>
      <c r="D25" t="s">
        <v>21</v>
      </c>
      <c r="E25" t="s">
        <v>28</v>
      </c>
      <c r="F25" t="s">
        <v>29</v>
      </c>
      <c r="G25">
        <v>28</v>
      </c>
    </row>
    <row r="26" spans="1:7" hidden="1" x14ac:dyDescent="0.35">
      <c r="A26" t="s">
        <v>35</v>
      </c>
      <c r="B26" t="s">
        <v>36</v>
      </c>
      <c r="C26" t="s">
        <v>9</v>
      </c>
      <c r="D26" t="s">
        <v>30</v>
      </c>
      <c r="E26" t="s">
        <v>48</v>
      </c>
      <c r="F26" t="s">
        <v>49</v>
      </c>
      <c r="G26">
        <v>1</v>
      </c>
    </row>
    <row r="27" spans="1:7" hidden="1" x14ac:dyDescent="0.35">
      <c r="A27" t="s">
        <v>35</v>
      </c>
      <c r="B27" t="s">
        <v>36</v>
      </c>
      <c r="C27" t="s">
        <v>9</v>
      </c>
      <c r="D27" t="s">
        <v>30</v>
      </c>
      <c r="E27" t="s">
        <v>50</v>
      </c>
      <c r="F27" t="s">
        <v>51</v>
      </c>
      <c r="G27">
        <v>24</v>
      </c>
    </row>
    <row r="28" spans="1:7" hidden="1" x14ac:dyDescent="0.35">
      <c r="A28" t="s">
        <v>35</v>
      </c>
      <c r="B28" t="s">
        <v>36</v>
      </c>
      <c r="C28" t="s">
        <v>9</v>
      </c>
      <c r="D28" t="s">
        <v>30</v>
      </c>
      <c r="E28" t="s">
        <v>52</v>
      </c>
      <c r="F28" t="s">
        <v>53</v>
      </c>
      <c r="G28">
        <v>26</v>
      </c>
    </row>
    <row r="29" spans="1:7" hidden="1" x14ac:dyDescent="0.35">
      <c r="A29" t="s">
        <v>35</v>
      </c>
      <c r="B29" t="s">
        <v>36</v>
      </c>
      <c r="C29" t="s">
        <v>9</v>
      </c>
      <c r="D29" t="s">
        <v>30</v>
      </c>
      <c r="E29" t="s">
        <v>54</v>
      </c>
      <c r="F29" t="s">
        <v>55</v>
      </c>
      <c r="G29">
        <v>39</v>
      </c>
    </row>
    <row r="30" spans="1:7" hidden="1" x14ac:dyDescent="0.35">
      <c r="A30" t="s">
        <v>56</v>
      </c>
      <c r="B30" t="s">
        <v>8</v>
      </c>
      <c r="C30" t="s">
        <v>57</v>
      </c>
      <c r="D30" t="s">
        <v>10</v>
      </c>
      <c r="E30" t="s">
        <v>37</v>
      </c>
      <c r="F30" t="s">
        <v>32</v>
      </c>
      <c r="G30">
        <v>14</v>
      </c>
    </row>
    <row r="31" spans="1:7" hidden="1" x14ac:dyDescent="0.35">
      <c r="A31" t="s">
        <v>56</v>
      </c>
      <c r="B31" t="s">
        <v>8</v>
      </c>
      <c r="C31" t="s">
        <v>57</v>
      </c>
      <c r="D31" t="s">
        <v>10</v>
      </c>
      <c r="E31" t="s">
        <v>58</v>
      </c>
      <c r="F31" t="s">
        <v>59</v>
      </c>
      <c r="G31">
        <v>1</v>
      </c>
    </row>
    <row r="32" spans="1:7" hidden="1" x14ac:dyDescent="0.35">
      <c r="A32" t="s">
        <v>56</v>
      </c>
      <c r="B32" t="s">
        <v>8</v>
      </c>
      <c r="C32" t="s">
        <v>57</v>
      </c>
      <c r="D32" t="s">
        <v>10</v>
      </c>
      <c r="E32" t="s">
        <v>17</v>
      </c>
      <c r="F32" t="s">
        <v>18</v>
      </c>
      <c r="G32">
        <v>40</v>
      </c>
    </row>
    <row r="33" spans="1:7" hidden="1" x14ac:dyDescent="0.35">
      <c r="A33" t="s">
        <v>56</v>
      </c>
      <c r="B33" t="s">
        <v>8</v>
      </c>
      <c r="C33" t="s">
        <v>57</v>
      </c>
      <c r="D33" t="s">
        <v>10</v>
      </c>
      <c r="E33" t="s">
        <v>19</v>
      </c>
      <c r="F33" t="s">
        <v>20</v>
      </c>
      <c r="G33">
        <v>46</v>
      </c>
    </row>
    <row r="34" spans="1:7" hidden="1" x14ac:dyDescent="0.35">
      <c r="A34" t="s">
        <v>56</v>
      </c>
      <c r="B34" t="s">
        <v>8</v>
      </c>
      <c r="C34" t="s">
        <v>57</v>
      </c>
      <c r="D34" t="s">
        <v>21</v>
      </c>
      <c r="E34" t="s">
        <v>22</v>
      </c>
      <c r="F34" t="s">
        <v>23</v>
      </c>
      <c r="G34">
        <v>36</v>
      </c>
    </row>
    <row r="35" spans="1:7" hidden="1" x14ac:dyDescent="0.35">
      <c r="A35" t="s">
        <v>56</v>
      </c>
      <c r="B35" t="s">
        <v>8</v>
      </c>
      <c r="C35" t="s">
        <v>57</v>
      </c>
      <c r="D35" t="s">
        <v>21</v>
      </c>
      <c r="E35" t="s">
        <v>24</v>
      </c>
      <c r="F35" t="s">
        <v>25</v>
      </c>
      <c r="G35">
        <v>13</v>
      </c>
    </row>
    <row r="36" spans="1:7" hidden="1" x14ac:dyDescent="0.35">
      <c r="A36" t="s">
        <v>56</v>
      </c>
      <c r="B36" t="s">
        <v>8</v>
      </c>
      <c r="C36" t="s">
        <v>57</v>
      </c>
      <c r="D36" t="s">
        <v>21</v>
      </c>
      <c r="E36" t="s">
        <v>26</v>
      </c>
      <c r="F36" t="s">
        <v>27</v>
      </c>
      <c r="G36">
        <v>21</v>
      </c>
    </row>
    <row r="37" spans="1:7" hidden="1" x14ac:dyDescent="0.35">
      <c r="A37" t="s">
        <v>56</v>
      </c>
      <c r="B37" t="s">
        <v>8</v>
      </c>
      <c r="C37" t="s">
        <v>57</v>
      </c>
      <c r="D37" t="s">
        <v>21</v>
      </c>
      <c r="E37" t="s">
        <v>28</v>
      </c>
      <c r="F37" t="s">
        <v>29</v>
      </c>
      <c r="G37">
        <v>28</v>
      </c>
    </row>
    <row r="38" spans="1:7" hidden="1" x14ac:dyDescent="0.35">
      <c r="A38" t="s">
        <v>56</v>
      </c>
      <c r="B38" t="s">
        <v>8</v>
      </c>
      <c r="C38" t="s">
        <v>57</v>
      </c>
      <c r="D38" t="s">
        <v>30</v>
      </c>
      <c r="E38" t="s">
        <v>60</v>
      </c>
      <c r="F38" t="s">
        <v>41</v>
      </c>
      <c r="G38">
        <v>1</v>
      </c>
    </row>
    <row r="39" spans="1:7" hidden="1" x14ac:dyDescent="0.35">
      <c r="A39" t="s">
        <v>61</v>
      </c>
      <c r="B39" t="s">
        <v>62</v>
      </c>
      <c r="C39" t="s">
        <v>57</v>
      </c>
      <c r="D39" t="s">
        <v>10</v>
      </c>
      <c r="E39" t="s">
        <v>37</v>
      </c>
      <c r="F39" t="s">
        <v>32</v>
      </c>
      <c r="G39">
        <v>14</v>
      </c>
    </row>
    <row r="40" spans="1:7" hidden="1" x14ac:dyDescent="0.35">
      <c r="A40" t="s">
        <v>61</v>
      </c>
      <c r="B40" t="s">
        <v>62</v>
      </c>
      <c r="C40" t="s">
        <v>57</v>
      </c>
      <c r="D40" t="s">
        <v>10</v>
      </c>
      <c r="E40" t="s">
        <v>40</v>
      </c>
      <c r="F40" t="s">
        <v>41</v>
      </c>
      <c r="G40">
        <v>47</v>
      </c>
    </row>
    <row r="41" spans="1:7" hidden="1" x14ac:dyDescent="0.35">
      <c r="A41" t="s">
        <v>61</v>
      </c>
      <c r="B41" t="s">
        <v>62</v>
      </c>
      <c r="C41" t="s">
        <v>57</v>
      </c>
      <c r="D41" t="s">
        <v>10</v>
      </c>
      <c r="E41" t="s">
        <v>17</v>
      </c>
      <c r="F41" t="s">
        <v>18</v>
      </c>
      <c r="G41">
        <v>40</v>
      </c>
    </row>
    <row r="42" spans="1:7" hidden="1" x14ac:dyDescent="0.35">
      <c r="A42" t="s">
        <v>61</v>
      </c>
      <c r="B42" t="s">
        <v>62</v>
      </c>
      <c r="C42" t="s">
        <v>57</v>
      </c>
      <c r="D42" t="s">
        <v>10</v>
      </c>
      <c r="E42" t="s">
        <v>19</v>
      </c>
      <c r="F42" t="s">
        <v>20</v>
      </c>
      <c r="G42">
        <v>46</v>
      </c>
    </row>
    <row r="43" spans="1:7" hidden="1" x14ac:dyDescent="0.35">
      <c r="A43" t="s">
        <v>61</v>
      </c>
      <c r="B43" t="s">
        <v>62</v>
      </c>
      <c r="C43" t="s">
        <v>57</v>
      </c>
      <c r="D43" t="s">
        <v>21</v>
      </c>
      <c r="E43" t="s">
        <v>22</v>
      </c>
      <c r="F43" t="s">
        <v>23</v>
      </c>
      <c r="G43">
        <v>36</v>
      </c>
    </row>
    <row r="44" spans="1:7" hidden="1" x14ac:dyDescent="0.35">
      <c r="A44" t="s">
        <v>61</v>
      </c>
      <c r="B44" t="s">
        <v>62</v>
      </c>
      <c r="C44" t="s">
        <v>57</v>
      </c>
      <c r="D44" t="s">
        <v>21</v>
      </c>
      <c r="E44" t="s">
        <v>44</v>
      </c>
      <c r="F44" t="s">
        <v>45</v>
      </c>
      <c r="G44">
        <v>32</v>
      </c>
    </row>
    <row r="45" spans="1:7" hidden="1" x14ac:dyDescent="0.35">
      <c r="A45" t="s">
        <v>61</v>
      </c>
      <c r="B45" t="s">
        <v>62</v>
      </c>
      <c r="C45" t="s">
        <v>57</v>
      </c>
      <c r="D45" t="s">
        <v>21</v>
      </c>
      <c r="E45" t="s">
        <v>28</v>
      </c>
      <c r="F45" t="s">
        <v>29</v>
      </c>
      <c r="G45">
        <v>28</v>
      </c>
    </row>
    <row r="46" spans="1:7" hidden="1" x14ac:dyDescent="0.35">
      <c r="A46" t="s">
        <v>61</v>
      </c>
      <c r="B46" t="s">
        <v>62</v>
      </c>
      <c r="C46" t="s">
        <v>57</v>
      </c>
      <c r="D46" t="s">
        <v>30</v>
      </c>
      <c r="E46" t="s">
        <v>63</v>
      </c>
      <c r="F46" t="s">
        <v>64</v>
      </c>
      <c r="G46">
        <v>1</v>
      </c>
    </row>
    <row r="47" spans="1:7" hidden="1" x14ac:dyDescent="0.35">
      <c r="A47" t="s">
        <v>61</v>
      </c>
      <c r="B47" t="s">
        <v>62</v>
      </c>
      <c r="C47" t="s">
        <v>57</v>
      </c>
      <c r="D47" t="s">
        <v>30</v>
      </c>
      <c r="E47" t="s">
        <v>65</v>
      </c>
      <c r="F47" t="s">
        <v>66</v>
      </c>
      <c r="G47">
        <v>1</v>
      </c>
    </row>
    <row r="48" spans="1:7" hidden="1" x14ac:dyDescent="0.35">
      <c r="A48" t="s">
        <v>67</v>
      </c>
      <c r="B48" t="s">
        <v>62</v>
      </c>
      <c r="C48" t="s">
        <v>57</v>
      </c>
      <c r="D48" t="s">
        <v>10</v>
      </c>
      <c r="E48" t="s">
        <v>37</v>
      </c>
      <c r="F48" t="s">
        <v>32</v>
      </c>
      <c r="G48">
        <v>14</v>
      </c>
    </row>
    <row r="49" spans="1:7" hidden="1" x14ac:dyDescent="0.35">
      <c r="A49" t="s">
        <v>67</v>
      </c>
      <c r="B49" t="s">
        <v>62</v>
      </c>
      <c r="C49" t="s">
        <v>57</v>
      </c>
      <c r="D49" t="s">
        <v>10</v>
      </c>
      <c r="E49" t="s">
        <v>40</v>
      </c>
      <c r="F49" t="s">
        <v>41</v>
      </c>
      <c r="G49">
        <v>47</v>
      </c>
    </row>
    <row r="50" spans="1:7" hidden="1" x14ac:dyDescent="0.35">
      <c r="A50" t="s">
        <v>67</v>
      </c>
      <c r="B50" t="s">
        <v>62</v>
      </c>
      <c r="C50" t="s">
        <v>57</v>
      </c>
      <c r="D50" t="s">
        <v>10</v>
      </c>
      <c r="E50" t="s">
        <v>42</v>
      </c>
      <c r="F50" t="s">
        <v>43</v>
      </c>
      <c r="G50">
        <v>43</v>
      </c>
    </row>
    <row r="51" spans="1:7" hidden="1" x14ac:dyDescent="0.35">
      <c r="A51" t="s">
        <v>67</v>
      </c>
      <c r="B51" t="s">
        <v>62</v>
      </c>
      <c r="C51" t="s">
        <v>57</v>
      </c>
      <c r="D51" t="s">
        <v>10</v>
      </c>
      <c r="E51" t="s">
        <v>38</v>
      </c>
      <c r="F51" t="s">
        <v>39</v>
      </c>
      <c r="G51">
        <v>5</v>
      </c>
    </row>
    <row r="52" spans="1:7" hidden="1" x14ac:dyDescent="0.35">
      <c r="A52" t="s">
        <v>67</v>
      </c>
      <c r="B52" t="s">
        <v>62</v>
      </c>
      <c r="C52" t="s">
        <v>57</v>
      </c>
      <c r="D52" t="s">
        <v>10</v>
      </c>
      <c r="E52" t="s">
        <v>15</v>
      </c>
      <c r="F52" t="s">
        <v>16</v>
      </c>
      <c r="G52">
        <v>11</v>
      </c>
    </row>
    <row r="53" spans="1:7" hidden="1" x14ac:dyDescent="0.35">
      <c r="A53" t="s">
        <v>67</v>
      </c>
      <c r="B53" t="s">
        <v>62</v>
      </c>
      <c r="C53" t="s">
        <v>57</v>
      </c>
      <c r="D53" t="s">
        <v>10</v>
      </c>
      <c r="E53" t="s">
        <v>17</v>
      </c>
      <c r="F53" t="s">
        <v>18</v>
      </c>
      <c r="G53">
        <v>40</v>
      </c>
    </row>
    <row r="54" spans="1:7" hidden="1" x14ac:dyDescent="0.35">
      <c r="A54" t="s">
        <v>67</v>
      </c>
      <c r="B54" t="s">
        <v>62</v>
      </c>
      <c r="C54" t="s">
        <v>57</v>
      </c>
      <c r="D54" t="s">
        <v>10</v>
      </c>
      <c r="E54" t="s">
        <v>19</v>
      </c>
      <c r="F54" t="s">
        <v>20</v>
      </c>
      <c r="G54">
        <v>46</v>
      </c>
    </row>
    <row r="55" spans="1:7" hidden="1" x14ac:dyDescent="0.35">
      <c r="A55" t="s">
        <v>67</v>
      </c>
      <c r="B55" t="s">
        <v>62</v>
      </c>
      <c r="C55" t="s">
        <v>57</v>
      </c>
      <c r="D55" t="s">
        <v>21</v>
      </c>
      <c r="E55" t="s">
        <v>22</v>
      </c>
      <c r="F55" t="s">
        <v>23</v>
      </c>
      <c r="G55">
        <v>36</v>
      </c>
    </row>
    <row r="56" spans="1:7" hidden="1" x14ac:dyDescent="0.35">
      <c r="A56" t="s">
        <v>67</v>
      </c>
      <c r="B56" t="s">
        <v>62</v>
      </c>
      <c r="C56" t="s">
        <v>57</v>
      </c>
      <c r="D56" t="s">
        <v>21</v>
      </c>
      <c r="E56" t="s">
        <v>24</v>
      </c>
      <c r="F56" t="s">
        <v>25</v>
      </c>
      <c r="G56">
        <v>13</v>
      </c>
    </row>
    <row r="57" spans="1:7" hidden="1" x14ac:dyDescent="0.35">
      <c r="A57" t="s">
        <v>67</v>
      </c>
      <c r="B57" t="s">
        <v>62</v>
      </c>
      <c r="C57" t="s">
        <v>57</v>
      </c>
      <c r="D57" t="s">
        <v>21</v>
      </c>
      <c r="E57" t="s">
        <v>44</v>
      </c>
      <c r="F57" t="s">
        <v>45</v>
      </c>
      <c r="G57">
        <v>32</v>
      </c>
    </row>
    <row r="58" spans="1:7" hidden="1" x14ac:dyDescent="0.35">
      <c r="A58" t="s">
        <v>67</v>
      </c>
      <c r="B58" t="s">
        <v>62</v>
      </c>
      <c r="C58" t="s">
        <v>57</v>
      </c>
      <c r="D58" t="s">
        <v>21</v>
      </c>
      <c r="E58" t="s">
        <v>68</v>
      </c>
      <c r="F58" t="s">
        <v>69</v>
      </c>
      <c r="G58">
        <v>13</v>
      </c>
    </row>
    <row r="59" spans="1:7" hidden="1" x14ac:dyDescent="0.35">
      <c r="A59" t="s">
        <v>67</v>
      </c>
      <c r="B59" t="s">
        <v>62</v>
      </c>
      <c r="C59" t="s">
        <v>57</v>
      </c>
      <c r="D59" t="s">
        <v>21</v>
      </c>
      <c r="E59" t="s">
        <v>46</v>
      </c>
      <c r="F59" t="s">
        <v>47</v>
      </c>
      <c r="G59">
        <v>11</v>
      </c>
    </row>
    <row r="60" spans="1:7" hidden="1" x14ac:dyDescent="0.35">
      <c r="A60" t="s">
        <v>67</v>
      </c>
      <c r="B60" t="s">
        <v>62</v>
      </c>
      <c r="C60" t="s">
        <v>57</v>
      </c>
      <c r="D60" t="s">
        <v>21</v>
      </c>
      <c r="E60" t="s">
        <v>26</v>
      </c>
      <c r="F60" t="s">
        <v>27</v>
      </c>
      <c r="G60">
        <v>21</v>
      </c>
    </row>
    <row r="61" spans="1:7" hidden="1" x14ac:dyDescent="0.35">
      <c r="A61" t="s">
        <v>67</v>
      </c>
      <c r="B61" t="s">
        <v>62</v>
      </c>
      <c r="C61" t="s">
        <v>57</v>
      </c>
      <c r="D61" t="s">
        <v>21</v>
      </c>
      <c r="E61" t="s">
        <v>70</v>
      </c>
      <c r="F61" t="s">
        <v>71</v>
      </c>
      <c r="G61">
        <v>1</v>
      </c>
    </row>
    <row r="62" spans="1:7" hidden="1" x14ac:dyDescent="0.35">
      <c r="A62" t="s">
        <v>67</v>
      </c>
      <c r="B62" t="s">
        <v>62</v>
      </c>
      <c r="C62" t="s">
        <v>57</v>
      </c>
      <c r="D62" t="s">
        <v>21</v>
      </c>
      <c r="E62" t="s">
        <v>72</v>
      </c>
      <c r="F62" t="s">
        <v>73</v>
      </c>
      <c r="G62">
        <v>1</v>
      </c>
    </row>
    <row r="63" spans="1:7" hidden="1" x14ac:dyDescent="0.35">
      <c r="A63" t="s">
        <v>67</v>
      </c>
      <c r="B63" t="s">
        <v>62</v>
      </c>
      <c r="C63" t="s">
        <v>57</v>
      </c>
      <c r="D63" t="s">
        <v>30</v>
      </c>
      <c r="E63" t="s">
        <v>74</v>
      </c>
      <c r="F63" t="s">
        <v>75</v>
      </c>
      <c r="G63">
        <v>1</v>
      </c>
    </row>
    <row r="64" spans="1:7" hidden="1" x14ac:dyDescent="0.35">
      <c r="A64" t="s">
        <v>67</v>
      </c>
      <c r="B64" t="s">
        <v>62</v>
      </c>
      <c r="C64" t="s">
        <v>57</v>
      </c>
      <c r="D64" t="s">
        <v>30</v>
      </c>
      <c r="E64" t="s">
        <v>76</v>
      </c>
      <c r="F64" t="s">
        <v>77</v>
      </c>
      <c r="G64">
        <v>1</v>
      </c>
    </row>
    <row r="65" spans="1:7" hidden="1" x14ac:dyDescent="0.35">
      <c r="A65" t="s">
        <v>78</v>
      </c>
      <c r="B65" t="s">
        <v>62</v>
      </c>
      <c r="C65" t="s">
        <v>57</v>
      </c>
      <c r="D65" t="s">
        <v>10</v>
      </c>
      <c r="E65" t="s">
        <v>37</v>
      </c>
      <c r="F65" t="s">
        <v>32</v>
      </c>
      <c r="G65">
        <v>14</v>
      </c>
    </row>
    <row r="66" spans="1:7" hidden="1" x14ac:dyDescent="0.35">
      <c r="A66" t="s">
        <v>78</v>
      </c>
      <c r="B66" t="s">
        <v>62</v>
      </c>
      <c r="C66" t="s">
        <v>57</v>
      </c>
      <c r="D66" t="s">
        <v>10</v>
      </c>
      <c r="E66" t="s">
        <v>40</v>
      </c>
      <c r="F66" t="s">
        <v>41</v>
      </c>
      <c r="G66">
        <v>47</v>
      </c>
    </row>
    <row r="67" spans="1:7" hidden="1" x14ac:dyDescent="0.35">
      <c r="A67" t="s">
        <v>78</v>
      </c>
      <c r="B67" t="s">
        <v>62</v>
      </c>
      <c r="C67" t="s">
        <v>57</v>
      </c>
      <c r="D67" t="s">
        <v>10</v>
      </c>
      <c r="E67" t="s">
        <v>42</v>
      </c>
      <c r="F67" t="s">
        <v>43</v>
      </c>
      <c r="G67">
        <v>43</v>
      </c>
    </row>
    <row r="68" spans="1:7" hidden="1" x14ac:dyDescent="0.35">
      <c r="A68" t="s">
        <v>78</v>
      </c>
      <c r="B68" t="s">
        <v>62</v>
      </c>
      <c r="C68" t="s">
        <v>57</v>
      </c>
      <c r="D68" t="s">
        <v>10</v>
      </c>
      <c r="E68" t="s">
        <v>17</v>
      </c>
      <c r="F68" t="s">
        <v>18</v>
      </c>
      <c r="G68">
        <v>40</v>
      </c>
    </row>
    <row r="69" spans="1:7" hidden="1" x14ac:dyDescent="0.35">
      <c r="A69" t="s">
        <v>78</v>
      </c>
      <c r="B69" t="s">
        <v>62</v>
      </c>
      <c r="C69" t="s">
        <v>57</v>
      </c>
      <c r="D69" t="s">
        <v>10</v>
      </c>
      <c r="E69" t="s">
        <v>19</v>
      </c>
      <c r="F69" t="s">
        <v>20</v>
      </c>
      <c r="G69">
        <v>46</v>
      </c>
    </row>
    <row r="70" spans="1:7" hidden="1" x14ac:dyDescent="0.35">
      <c r="A70" t="s">
        <v>78</v>
      </c>
      <c r="B70" t="s">
        <v>62</v>
      </c>
      <c r="C70" t="s">
        <v>57</v>
      </c>
      <c r="D70" t="s">
        <v>21</v>
      </c>
      <c r="E70" t="s">
        <v>22</v>
      </c>
      <c r="F70" t="s">
        <v>23</v>
      </c>
      <c r="G70">
        <v>36</v>
      </c>
    </row>
    <row r="71" spans="1:7" hidden="1" x14ac:dyDescent="0.35">
      <c r="A71" t="s">
        <v>78</v>
      </c>
      <c r="B71" t="s">
        <v>62</v>
      </c>
      <c r="C71" t="s">
        <v>57</v>
      </c>
      <c r="D71" t="s">
        <v>21</v>
      </c>
      <c r="E71" t="s">
        <v>44</v>
      </c>
      <c r="F71" t="s">
        <v>45</v>
      </c>
      <c r="G71">
        <v>32</v>
      </c>
    </row>
    <row r="72" spans="1:7" hidden="1" x14ac:dyDescent="0.35">
      <c r="A72" t="s">
        <v>78</v>
      </c>
      <c r="B72" t="s">
        <v>62</v>
      </c>
      <c r="C72" t="s">
        <v>57</v>
      </c>
      <c r="D72" t="s">
        <v>21</v>
      </c>
      <c r="E72" t="s">
        <v>68</v>
      </c>
      <c r="F72" t="s">
        <v>69</v>
      </c>
      <c r="G72">
        <v>13</v>
      </c>
    </row>
    <row r="73" spans="1:7" hidden="1" x14ac:dyDescent="0.35">
      <c r="A73" t="s">
        <v>78</v>
      </c>
      <c r="B73" t="s">
        <v>62</v>
      </c>
      <c r="C73" t="s">
        <v>57</v>
      </c>
      <c r="D73" t="s">
        <v>21</v>
      </c>
      <c r="E73" t="s">
        <v>26</v>
      </c>
      <c r="F73" t="s">
        <v>27</v>
      </c>
      <c r="G73">
        <v>21</v>
      </c>
    </row>
    <row r="74" spans="1:7" hidden="1" x14ac:dyDescent="0.35">
      <c r="A74" t="s">
        <v>78</v>
      </c>
      <c r="B74" t="s">
        <v>62</v>
      </c>
      <c r="C74" t="s">
        <v>57</v>
      </c>
      <c r="D74" t="s">
        <v>21</v>
      </c>
      <c r="E74" t="s">
        <v>79</v>
      </c>
      <c r="F74" t="s">
        <v>80</v>
      </c>
      <c r="G74">
        <v>1</v>
      </c>
    </row>
    <row r="75" spans="1:7" hidden="1" x14ac:dyDescent="0.35">
      <c r="A75" t="s">
        <v>78</v>
      </c>
      <c r="B75" t="s">
        <v>62</v>
      </c>
      <c r="C75" t="s">
        <v>57</v>
      </c>
      <c r="D75" t="s">
        <v>30</v>
      </c>
      <c r="E75" t="s">
        <v>81</v>
      </c>
      <c r="F75" t="s">
        <v>82</v>
      </c>
      <c r="G75">
        <v>1</v>
      </c>
    </row>
    <row r="76" spans="1:7" hidden="1" x14ac:dyDescent="0.35">
      <c r="A76" t="s">
        <v>78</v>
      </c>
      <c r="B76" t="s">
        <v>62</v>
      </c>
      <c r="C76" t="s">
        <v>57</v>
      </c>
      <c r="D76" t="s">
        <v>30</v>
      </c>
      <c r="E76" t="s">
        <v>54</v>
      </c>
      <c r="F76" t="s">
        <v>55</v>
      </c>
      <c r="G76">
        <v>39</v>
      </c>
    </row>
    <row r="77" spans="1:7" hidden="1" x14ac:dyDescent="0.35">
      <c r="A77" t="s">
        <v>83</v>
      </c>
      <c r="B77" t="s">
        <v>62</v>
      </c>
      <c r="C77" t="s">
        <v>57</v>
      </c>
      <c r="D77" t="s">
        <v>10</v>
      </c>
      <c r="E77" t="s">
        <v>40</v>
      </c>
      <c r="F77" t="s">
        <v>41</v>
      </c>
      <c r="G77">
        <v>47</v>
      </c>
    </row>
    <row r="78" spans="1:7" hidden="1" x14ac:dyDescent="0.35">
      <c r="A78" t="s">
        <v>83</v>
      </c>
      <c r="B78" t="s">
        <v>62</v>
      </c>
      <c r="C78" t="s">
        <v>57</v>
      </c>
      <c r="D78" t="s">
        <v>10</v>
      </c>
      <c r="E78" t="s">
        <v>42</v>
      </c>
      <c r="F78" t="s">
        <v>43</v>
      </c>
      <c r="G78">
        <v>43</v>
      </c>
    </row>
    <row r="79" spans="1:7" hidden="1" x14ac:dyDescent="0.35">
      <c r="A79" t="s">
        <v>83</v>
      </c>
      <c r="B79" t="s">
        <v>62</v>
      </c>
      <c r="C79" t="s">
        <v>57</v>
      </c>
      <c r="D79" t="s">
        <v>10</v>
      </c>
      <c r="E79" t="s">
        <v>17</v>
      </c>
      <c r="F79" t="s">
        <v>18</v>
      </c>
      <c r="G79">
        <v>40</v>
      </c>
    </row>
    <row r="80" spans="1:7" hidden="1" x14ac:dyDescent="0.35">
      <c r="A80" t="s">
        <v>83</v>
      </c>
      <c r="B80" t="s">
        <v>62</v>
      </c>
      <c r="C80" t="s">
        <v>57</v>
      </c>
      <c r="D80" t="s">
        <v>10</v>
      </c>
      <c r="E80" t="s">
        <v>19</v>
      </c>
      <c r="F80" t="s">
        <v>20</v>
      </c>
      <c r="G80">
        <v>46</v>
      </c>
    </row>
    <row r="81" spans="1:7" hidden="1" x14ac:dyDescent="0.35">
      <c r="A81" t="s">
        <v>83</v>
      </c>
      <c r="B81" t="s">
        <v>62</v>
      </c>
      <c r="C81" t="s">
        <v>57</v>
      </c>
      <c r="D81" t="s">
        <v>21</v>
      </c>
      <c r="E81" t="s">
        <v>22</v>
      </c>
      <c r="F81" t="s">
        <v>23</v>
      </c>
      <c r="G81">
        <v>36</v>
      </c>
    </row>
    <row r="82" spans="1:7" hidden="1" x14ac:dyDescent="0.35">
      <c r="A82" t="s">
        <v>83</v>
      </c>
      <c r="B82" t="s">
        <v>62</v>
      </c>
      <c r="C82" t="s">
        <v>57</v>
      </c>
      <c r="D82" t="s">
        <v>21</v>
      </c>
      <c r="E82" t="s">
        <v>84</v>
      </c>
      <c r="F82" t="s">
        <v>85</v>
      </c>
      <c r="G82">
        <v>2</v>
      </c>
    </row>
    <row r="83" spans="1:7" hidden="1" x14ac:dyDescent="0.35">
      <c r="A83" t="s">
        <v>83</v>
      </c>
      <c r="B83" t="s">
        <v>62</v>
      </c>
      <c r="C83" t="s">
        <v>57</v>
      </c>
      <c r="D83" t="s">
        <v>30</v>
      </c>
      <c r="E83" t="s">
        <v>86</v>
      </c>
      <c r="F83" t="s">
        <v>87</v>
      </c>
      <c r="G83">
        <v>1</v>
      </c>
    </row>
    <row r="84" spans="1:7" hidden="1" x14ac:dyDescent="0.35">
      <c r="A84" t="s">
        <v>83</v>
      </c>
      <c r="B84" t="s">
        <v>62</v>
      </c>
      <c r="C84" t="s">
        <v>57</v>
      </c>
      <c r="D84" t="s">
        <v>30</v>
      </c>
      <c r="E84" t="s">
        <v>54</v>
      </c>
      <c r="F84" t="s">
        <v>55</v>
      </c>
      <c r="G84">
        <v>39</v>
      </c>
    </row>
    <row r="85" spans="1:7" hidden="1" x14ac:dyDescent="0.35">
      <c r="A85" t="s">
        <v>88</v>
      </c>
      <c r="B85" t="s">
        <v>89</v>
      </c>
      <c r="C85" t="s">
        <v>57</v>
      </c>
      <c r="D85" t="s">
        <v>10</v>
      </c>
      <c r="E85" t="s">
        <v>37</v>
      </c>
      <c r="F85" t="s">
        <v>32</v>
      </c>
      <c r="G85">
        <v>14</v>
      </c>
    </row>
    <row r="86" spans="1:7" hidden="1" x14ac:dyDescent="0.35">
      <c r="A86" t="s">
        <v>88</v>
      </c>
      <c r="B86" t="s">
        <v>89</v>
      </c>
      <c r="C86" t="s">
        <v>57</v>
      </c>
      <c r="D86" t="s">
        <v>10</v>
      </c>
      <c r="E86" t="s">
        <v>40</v>
      </c>
      <c r="F86" t="s">
        <v>41</v>
      </c>
      <c r="G86">
        <v>47</v>
      </c>
    </row>
    <row r="87" spans="1:7" hidden="1" x14ac:dyDescent="0.35">
      <c r="A87" t="s">
        <v>88</v>
      </c>
      <c r="B87" t="s">
        <v>89</v>
      </c>
      <c r="C87" t="s">
        <v>57</v>
      </c>
      <c r="D87" t="s">
        <v>10</v>
      </c>
      <c r="E87" t="s">
        <v>17</v>
      </c>
      <c r="F87" t="s">
        <v>18</v>
      </c>
      <c r="G87">
        <v>40</v>
      </c>
    </row>
    <row r="88" spans="1:7" hidden="1" x14ac:dyDescent="0.35">
      <c r="A88" t="s">
        <v>88</v>
      </c>
      <c r="B88" t="s">
        <v>89</v>
      </c>
      <c r="C88" t="s">
        <v>57</v>
      </c>
      <c r="D88" t="s">
        <v>10</v>
      </c>
      <c r="E88" t="s">
        <v>19</v>
      </c>
      <c r="F88" t="s">
        <v>20</v>
      </c>
      <c r="G88">
        <v>46</v>
      </c>
    </row>
    <row r="89" spans="1:7" hidden="1" x14ac:dyDescent="0.35">
      <c r="A89" t="s">
        <v>88</v>
      </c>
      <c r="B89" t="s">
        <v>89</v>
      </c>
      <c r="C89" t="s">
        <v>57</v>
      </c>
      <c r="D89" t="s">
        <v>21</v>
      </c>
      <c r="E89" t="s">
        <v>22</v>
      </c>
      <c r="F89" t="s">
        <v>23</v>
      </c>
      <c r="G89">
        <v>36</v>
      </c>
    </row>
    <row r="90" spans="1:7" hidden="1" x14ac:dyDescent="0.35">
      <c r="A90" t="s">
        <v>88</v>
      </c>
      <c r="B90" t="s">
        <v>89</v>
      </c>
      <c r="C90" t="s">
        <v>57</v>
      </c>
      <c r="D90" t="s">
        <v>21</v>
      </c>
      <c r="E90" t="s">
        <v>44</v>
      </c>
      <c r="F90" t="s">
        <v>45</v>
      </c>
      <c r="G90">
        <v>32</v>
      </c>
    </row>
    <row r="91" spans="1:7" hidden="1" x14ac:dyDescent="0.35">
      <c r="A91" t="s">
        <v>88</v>
      </c>
      <c r="B91" t="s">
        <v>89</v>
      </c>
      <c r="C91" t="s">
        <v>57</v>
      </c>
      <c r="D91" t="s">
        <v>21</v>
      </c>
      <c r="E91" t="s">
        <v>28</v>
      </c>
      <c r="F91" t="s">
        <v>29</v>
      </c>
      <c r="G91">
        <v>28</v>
      </c>
    </row>
    <row r="92" spans="1:7" hidden="1" x14ac:dyDescent="0.35">
      <c r="A92" t="s">
        <v>88</v>
      </c>
      <c r="B92" t="s">
        <v>89</v>
      </c>
      <c r="C92" t="s">
        <v>57</v>
      </c>
      <c r="D92" t="s">
        <v>30</v>
      </c>
      <c r="E92" t="s">
        <v>90</v>
      </c>
      <c r="F92" t="s">
        <v>91</v>
      </c>
      <c r="G92">
        <v>1</v>
      </c>
    </row>
    <row r="93" spans="1:7" hidden="1" x14ac:dyDescent="0.35">
      <c r="A93" t="s">
        <v>92</v>
      </c>
      <c r="B93" t="s">
        <v>89</v>
      </c>
      <c r="C93" t="s">
        <v>57</v>
      </c>
      <c r="D93" t="s">
        <v>10</v>
      </c>
      <c r="E93" t="s">
        <v>40</v>
      </c>
      <c r="F93" t="s">
        <v>41</v>
      </c>
      <c r="G93">
        <v>47</v>
      </c>
    </row>
    <row r="94" spans="1:7" hidden="1" x14ac:dyDescent="0.35">
      <c r="A94" t="s">
        <v>92</v>
      </c>
      <c r="B94" t="s">
        <v>89</v>
      </c>
      <c r="C94" t="s">
        <v>57</v>
      </c>
      <c r="D94" t="s">
        <v>10</v>
      </c>
      <c r="E94" t="s">
        <v>17</v>
      </c>
      <c r="F94" t="s">
        <v>18</v>
      </c>
      <c r="G94">
        <v>40</v>
      </c>
    </row>
    <row r="95" spans="1:7" hidden="1" x14ac:dyDescent="0.35">
      <c r="A95" t="s">
        <v>92</v>
      </c>
      <c r="B95" t="s">
        <v>89</v>
      </c>
      <c r="C95" t="s">
        <v>57</v>
      </c>
      <c r="D95" t="s">
        <v>10</v>
      </c>
      <c r="E95" t="s">
        <v>19</v>
      </c>
      <c r="F95" t="s">
        <v>20</v>
      </c>
      <c r="G95">
        <v>46</v>
      </c>
    </row>
    <row r="96" spans="1:7" hidden="1" x14ac:dyDescent="0.35">
      <c r="A96" t="s">
        <v>92</v>
      </c>
      <c r="B96" t="s">
        <v>89</v>
      </c>
      <c r="C96" t="s">
        <v>57</v>
      </c>
      <c r="D96" t="s">
        <v>21</v>
      </c>
      <c r="E96" t="s">
        <v>22</v>
      </c>
      <c r="F96" t="s">
        <v>23</v>
      </c>
      <c r="G96">
        <v>36</v>
      </c>
    </row>
    <row r="97" spans="1:7" hidden="1" x14ac:dyDescent="0.35">
      <c r="A97" t="s">
        <v>92</v>
      </c>
      <c r="B97" t="s">
        <v>89</v>
      </c>
      <c r="C97" t="s">
        <v>57</v>
      </c>
      <c r="D97" t="s">
        <v>21</v>
      </c>
      <c r="E97" t="s">
        <v>84</v>
      </c>
      <c r="F97" t="s">
        <v>85</v>
      </c>
      <c r="G97">
        <v>2</v>
      </c>
    </row>
    <row r="98" spans="1:7" hidden="1" x14ac:dyDescent="0.35">
      <c r="A98" t="s">
        <v>92</v>
      </c>
      <c r="B98" t="s">
        <v>89</v>
      </c>
      <c r="C98" t="s">
        <v>57</v>
      </c>
      <c r="D98" t="s">
        <v>21</v>
      </c>
      <c r="E98" t="s">
        <v>93</v>
      </c>
      <c r="F98" t="s">
        <v>94</v>
      </c>
      <c r="G98">
        <v>1</v>
      </c>
    </row>
    <row r="99" spans="1:7" hidden="1" x14ac:dyDescent="0.35">
      <c r="A99" t="s">
        <v>92</v>
      </c>
      <c r="B99" t="s">
        <v>89</v>
      </c>
      <c r="C99" t="s">
        <v>57</v>
      </c>
      <c r="D99" t="s">
        <v>21</v>
      </c>
      <c r="E99" t="s">
        <v>28</v>
      </c>
      <c r="F99" t="s">
        <v>29</v>
      </c>
      <c r="G99">
        <v>28</v>
      </c>
    </row>
    <row r="100" spans="1:7" hidden="1" x14ac:dyDescent="0.35">
      <c r="A100" t="s">
        <v>92</v>
      </c>
      <c r="B100" t="s">
        <v>89</v>
      </c>
      <c r="C100" t="s">
        <v>57</v>
      </c>
      <c r="D100" t="s">
        <v>30</v>
      </c>
      <c r="E100" t="s">
        <v>95</v>
      </c>
      <c r="F100" t="s">
        <v>96</v>
      </c>
      <c r="G100">
        <v>1</v>
      </c>
    </row>
    <row r="101" spans="1:7" hidden="1" x14ac:dyDescent="0.35">
      <c r="A101" t="s">
        <v>92</v>
      </c>
      <c r="B101" t="s">
        <v>89</v>
      </c>
      <c r="C101" t="s">
        <v>57</v>
      </c>
      <c r="D101" t="s">
        <v>30</v>
      </c>
      <c r="E101" t="s">
        <v>97</v>
      </c>
      <c r="F101" t="s">
        <v>98</v>
      </c>
      <c r="G101">
        <v>1</v>
      </c>
    </row>
    <row r="102" spans="1:7" hidden="1" x14ac:dyDescent="0.35">
      <c r="A102" t="s">
        <v>92</v>
      </c>
      <c r="B102" t="s">
        <v>89</v>
      </c>
      <c r="C102" t="s">
        <v>57</v>
      </c>
      <c r="D102" t="s">
        <v>30</v>
      </c>
      <c r="E102" t="s">
        <v>99</v>
      </c>
      <c r="F102" t="s">
        <v>100</v>
      </c>
      <c r="G102">
        <v>1</v>
      </c>
    </row>
    <row r="103" spans="1:7" hidden="1" x14ac:dyDescent="0.35">
      <c r="A103" t="s">
        <v>92</v>
      </c>
      <c r="B103" t="s">
        <v>89</v>
      </c>
      <c r="C103" t="s">
        <v>57</v>
      </c>
      <c r="D103" t="s">
        <v>30</v>
      </c>
      <c r="E103" t="s">
        <v>50</v>
      </c>
      <c r="F103" t="s">
        <v>51</v>
      </c>
      <c r="G103">
        <v>24</v>
      </c>
    </row>
    <row r="104" spans="1:7" hidden="1" x14ac:dyDescent="0.35">
      <c r="A104" t="s">
        <v>92</v>
      </c>
      <c r="B104" t="s">
        <v>89</v>
      </c>
      <c r="C104" t="s">
        <v>57</v>
      </c>
      <c r="D104" t="s">
        <v>30</v>
      </c>
      <c r="E104" t="s">
        <v>52</v>
      </c>
      <c r="F104" t="s">
        <v>53</v>
      </c>
      <c r="G104">
        <v>26</v>
      </c>
    </row>
    <row r="105" spans="1:7" hidden="1" x14ac:dyDescent="0.35">
      <c r="A105" t="s">
        <v>101</v>
      </c>
      <c r="B105" t="s">
        <v>89</v>
      </c>
      <c r="C105" t="s">
        <v>57</v>
      </c>
      <c r="D105" t="s">
        <v>10</v>
      </c>
      <c r="E105" t="s">
        <v>40</v>
      </c>
      <c r="F105" t="s">
        <v>41</v>
      </c>
      <c r="G105">
        <v>47</v>
      </c>
    </row>
    <row r="106" spans="1:7" hidden="1" x14ac:dyDescent="0.35">
      <c r="A106" t="s">
        <v>101</v>
      </c>
      <c r="B106" t="s">
        <v>89</v>
      </c>
      <c r="C106" t="s">
        <v>57</v>
      </c>
      <c r="D106" t="s">
        <v>10</v>
      </c>
      <c r="E106" t="s">
        <v>42</v>
      </c>
      <c r="F106" t="s">
        <v>43</v>
      </c>
      <c r="G106">
        <v>43</v>
      </c>
    </row>
    <row r="107" spans="1:7" hidden="1" x14ac:dyDescent="0.35">
      <c r="A107" t="s">
        <v>101</v>
      </c>
      <c r="B107" t="s">
        <v>89</v>
      </c>
      <c r="C107" t="s">
        <v>57</v>
      </c>
      <c r="D107" t="s">
        <v>10</v>
      </c>
      <c r="E107" t="s">
        <v>17</v>
      </c>
      <c r="F107" t="s">
        <v>18</v>
      </c>
      <c r="G107">
        <v>40</v>
      </c>
    </row>
    <row r="108" spans="1:7" hidden="1" x14ac:dyDescent="0.35">
      <c r="A108" t="s">
        <v>101</v>
      </c>
      <c r="B108" t="s">
        <v>89</v>
      </c>
      <c r="C108" t="s">
        <v>57</v>
      </c>
      <c r="D108" t="s">
        <v>10</v>
      </c>
      <c r="E108" t="s">
        <v>19</v>
      </c>
      <c r="F108" t="s">
        <v>20</v>
      </c>
      <c r="G108">
        <v>46</v>
      </c>
    </row>
    <row r="109" spans="1:7" hidden="1" x14ac:dyDescent="0.35">
      <c r="A109" t="s">
        <v>101</v>
      </c>
      <c r="B109" t="s">
        <v>89</v>
      </c>
      <c r="C109" t="s">
        <v>57</v>
      </c>
      <c r="D109" t="s">
        <v>21</v>
      </c>
      <c r="E109" t="s">
        <v>102</v>
      </c>
      <c r="F109" t="s">
        <v>103</v>
      </c>
      <c r="G109">
        <v>1</v>
      </c>
    </row>
    <row r="110" spans="1:7" hidden="1" x14ac:dyDescent="0.35">
      <c r="A110" t="s">
        <v>101</v>
      </c>
      <c r="B110" t="s">
        <v>89</v>
      </c>
      <c r="C110" t="s">
        <v>57</v>
      </c>
      <c r="D110" t="s">
        <v>21</v>
      </c>
      <c r="E110" t="s">
        <v>104</v>
      </c>
      <c r="F110" t="s">
        <v>105</v>
      </c>
      <c r="G110">
        <v>1</v>
      </c>
    </row>
    <row r="111" spans="1:7" hidden="1" x14ac:dyDescent="0.35">
      <c r="A111" t="s">
        <v>101</v>
      </c>
      <c r="B111" t="s">
        <v>89</v>
      </c>
      <c r="C111" t="s">
        <v>57</v>
      </c>
      <c r="D111" t="s">
        <v>21</v>
      </c>
      <c r="E111" t="s">
        <v>106</v>
      </c>
      <c r="F111" t="s">
        <v>107</v>
      </c>
      <c r="G111">
        <v>3</v>
      </c>
    </row>
    <row r="112" spans="1:7" hidden="1" x14ac:dyDescent="0.35">
      <c r="A112" t="s">
        <v>101</v>
      </c>
      <c r="B112" t="s">
        <v>89</v>
      </c>
      <c r="C112" t="s">
        <v>57</v>
      </c>
      <c r="D112" t="s">
        <v>21</v>
      </c>
      <c r="E112" t="s">
        <v>108</v>
      </c>
      <c r="F112" t="s">
        <v>109</v>
      </c>
      <c r="G112">
        <v>13</v>
      </c>
    </row>
    <row r="113" spans="1:7" hidden="1" x14ac:dyDescent="0.35">
      <c r="A113" t="s">
        <v>101</v>
      </c>
      <c r="B113" t="s">
        <v>89</v>
      </c>
      <c r="C113" t="s">
        <v>57</v>
      </c>
      <c r="D113" t="s">
        <v>30</v>
      </c>
      <c r="E113" t="s">
        <v>110</v>
      </c>
      <c r="F113" t="s">
        <v>111</v>
      </c>
      <c r="G113">
        <v>1</v>
      </c>
    </row>
    <row r="114" spans="1:7" hidden="1" x14ac:dyDescent="0.35">
      <c r="A114" t="s">
        <v>101</v>
      </c>
      <c r="B114" t="s">
        <v>89</v>
      </c>
      <c r="C114" t="s">
        <v>57</v>
      </c>
      <c r="D114" t="s">
        <v>30</v>
      </c>
      <c r="E114" t="s">
        <v>54</v>
      </c>
      <c r="F114" t="s">
        <v>55</v>
      </c>
      <c r="G114">
        <v>39</v>
      </c>
    </row>
    <row r="115" spans="1:7" hidden="1" x14ac:dyDescent="0.35">
      <c r="A115" t="s">
        <v>112</v>
      </c>
      <c r="B115" t="s">
        <v>89</v>
      </c>
      <c r="C115" t="s">
        <v>57</v>
      </c>
      <c r="D115" t="s">
        <v>10</v>
      </c>
      <c r="E115" t="s">
        <v>40</v>
      </c>
      <c r="F115" t="s">
        <v>41</v>
      </c>
      <c r="G115">
        <v>47</v>
      </c>
    </row>
    <row r="116" spans="1:7" hidden="1" x14ac:dyDescent="0.35">
      <c r="A116" t="s">
        <v>112</v>
      </c>
      <c r="B116" t="s">
        <v>89</v>
      </c>
      <c r="C116" t="s">
        <v>57</v>
      </c>
      <c r="D116" t="s">
        <v>10</v>
      </c>
      <c r="E116" t="s">
        <v>42</v>
      </c>
      <c r="F116" t="s">
        <v>43</v>
      </c>
      <c r="G116">
        <v>43</v>
      </c>
    </row>
    <row r="117" spans="1:7" hidden="1" x14ac:dyDescent="0.35">
      <c r="A117" t="s">
        <v>112</v>
      </c>
      <c r="B117" t="s">
        <v>89</v>
      </c>
      <c r="C117" t="s">
        <v>57</v>
      </c>
      <c r="D117" t="s">
        <v>10</v>
      </c>
      <c r="E117" t="s">
        <v>17</v>
      </c>
      <c r="F117" t="s">
        <v>18</v>
      </c>
      <c r="G117">
        <v>40</v>
      </c>
    </row>
    <row r="118" spans="1:7" hidden="1" x14ac:dyDescent="0.35">
      <c r="A118" t="s">
        <v>112</v>
      </c>
      <c r="B118" t="s">
        <v>89</v>
      </c>
      <c r="C118" t="s">
        <v>57</v>
      </c>
      <c r="D118" t="s">
        <v>10</v>
      </c>
      <c r="E118" t="s">
        <v>19</v>
      </c>
      <c r="F118" t="s">
        <v>20</v>
      </c>
      <c r="G118">
        <v>46</v>
      </c>
    </row>
    <row r="119" spans="1:7" hidden="1" x14ac:dyDescent="0.35">
      <c r="A119" t="s">
        <v>112</v>
      </c>
      <c r="B119" t="s">
        <v>89</v>
      </c>
      <c r="C119" t="s">
        <v>57</v>
      </c>
      <c r="D119" t="s">
        <v>21</v>
      </c>
      <c r="E119" t="s">
        <v>22</v>
      </c>
      <c r="F119" t="s">
        <v>23</v>
      </c>
      <c r="G119">
        <v>36</v>
      </c>
    </row>
    <row r="120" spans="1:7" hidden="1" x14ac:dyDescent="0.35">
      <c r="A120" t="s">
        <v>112</v>
      </c>
      <c r="B120" t="s">
        <v>89</v>
      </c>
      <c r="C120" t="s">
        <v>57</v>
      </c>
      <c r="D120" t="s">
        <v>21</v>
      </c>
      <c r="E120" t="s">
        <v>113</v>
      </c>
      <c r="F120" t="s">
        <v>114</v>
      </c>
      <c r="G120">
        <v>3</v>
      </c>
    </row>
    <row r="121" spans="1:7" hidden="1" x14ac:dyDescent="0.35">
      <c r="A121" t="s">
        <v>112</v>
      </c>
      <c r="B121" t="s">
        <v>89</v>
      </c>
      <c r="C121" t="s">
        <v>57</v>
      </c>
      <c r="D121" t="s">
        <v>21</v>
      </c>
      <c r="E121" t="s">
        <v>115</v>
      </c>
      <c r="F121" t="s">
        <v>116</v>
      </c>
      <c r="G121">
        <v>3</v>
      </c>
    </row>
    <row r="122" spans="1:7" hidden="1" x14ac:dyDescent="0.35">
      <c r="A122" t="s">
        <v>112</v>
      </c>
      <c r="B122" t="s">
        <v>89</v>
      </c>
      <c r="C122" t="s">
        <v>57</v>
      </c>
      <c r="D122" t="s">
        <v>21</v>
      </c>
      <c r="E122" t="s">
        <v>117</v>
      </c>
      <c r="F122" t="s">
        <v>118</v>
      </c>
      <c r="G122">
        <v>2</v>
      </c>
    </row>
    <row r="123" spans="1:7" hidden="1" x14ac:dyDescent="0.35">
      <c r="A123" t="s">
        <v>112</v>
      </c>
      <c r="B123" t="s">
        <v>89</v>
      </c>
      <c r="C123" t="s">
        <v>57</v>
      </c>
      <c r="D123" t="s">
        <v>21</v>
      </c>
      <c r="E123" t="s">
        <v>119</v>
      </c>
      <c r="F123" t="s">
        <v>120</v>
      </c>
      <c r="G123">
        <v>3</v>
      </c>
    </row>
    <row r="124" spans="1:7" hidden="1" x14ac:dyDescent="0.35">
      <c r="A124" t="s">
        <v>112</v>
      </c>
      <c r="B124" t="s">
        <v>89</v>
      </c>
      <c r="C124" t="s">
        <v>57</v>
      </c>
      <c r="D124" t="s">
        <v>21</v>
      </c>
      <c r="E124" t="s">
        <v>44</v>
      </c>
      <c r="F124" t="s">
        <v>45</v>
      </c>
      <c r="G124">
        <v>32</v>
      </c>
    </row>
    <row r="125" spans="1:7" hidden="1" x14ac:dyDescent="0.35">
      <c r="A125" t="s">
        <v>112</v>
      </c>
      <c r="B125" t="s">
        <v>89</v>
      </c>
      <c r="C125" t="s">
        <v>57</v>
      </c>
      <c r="D125" t="s">
        <v>21</v>
      </c>
      <c r="E125" t="s">
        <v>68</v>
      </c>
      <c r="F125" t="s">
        <v>69</v>
      </c>
      <c r="G125">
        <v>13</v>
      </c>
    </row>
    <row r="126" spans="1:7" hidden="1" x14ac:dyDescent="0.35">
      <c r="A126" t="s">
        <v>112</v>
      </c>
      <c r="B126" t="s">
        <v>89</v>
      </c>
      <c r="C126" t="s">
        <v>57</v>
      </c>
      <c r="D126" t="s">
        <v>21</v>
      </c>
      <c r="E126" t="s">
        <v>28</v>
      </c>
      <c r="F126" t="s">
        <v>29</v>
      </c>
      <c r="G126">
        <v>28</v>
      </c>
    </row>
    <row r="127" spans="1:7" hidden="1" x14ac:dyDescent="0.35">
      <c r="A127" t="s">
        <v>112</v>
      </c>
      <c r="B127" t="s">
        <v>89</v>
      </c>
      <c r="C127" t="s">
        <v>57</v>
      </c>
      <c r="D127" t="s">
        <v>30</v>
      </c>
      <c r="E127" t="s">
        <v>121</v>
      </c>
      <c r="F127" t="s">
        <v>122</v>
      </c>
      <c r="G127">
        <v>1</v>
      </c>
    </row>
    <row r="128" spans="1:7" hidden="1" x14ac:dyDescent="0.35">
      <c r="A128" t="s">
        <v>112</v>
      </c>
      <c r="B128" t="s">
        <v>89</v>
      </c>
      <c r="C128" t="s">
        <v>57</v>
      </c>
      <c r="D128" t="s">
        <v>30</v>
      </c>
      <c r="E128" t="s">
        <v>123</v>
      </c>
      <c r="F128" t="s">
        <v>124</v>
      </c>
      <c r="G128">
        <v>3</v>
      </c>
    </row>
    <row r="129" spans="1:7" hidden="1" x14ac:dyDescent="0.35">
      <c r="A129" t="s">
        <v>112</v>
      </c>
      <c r="B129" t="s">
        <v>89</v>
      </c>
      <c r="C129" t="s">
        <v>57</v>
      </c>
      <c r="D129" t="s">
        <v>30</v>
      </c>
      <c r="E129" t="s">
        <v>54</v>
      </c>
      <c r="F129" t="s">
        <v>55</v>
      </c>
      <c r="G129">
        <v>39</v>
      </c>
    </row>
    <row r="130" spans="1:7" hidden="1" x14ac:dyDescent="0.35">
      <c r="A130" t="s">
        <v>125</v>
      </c>
      <c r="B130" t="s">
        <v>89</v>
      </c>
      <c r="C130" t="s">
        <v>57</v>
      </c>
      <c r="D130" t="s">
        <v>10</v>
      </c>
      <c r="E130" t="s">
        <v>40</v>
      </c>
      <c r="F130" t="s">
        <v>41</v>
      </c>
      <c r="G130">
        <v>47</v>
      </c>
    </row>
    <row r="131" spans="1:7" hidden="1" x14ac:dyDescent="0.35">
      <c r="A131" t="s">
        <v>125</v>
      </c>
      <c r="B131" t="s">
        <v>89</v>
      </c>
      <c r="C131" t="s">
        <v>57</v>
      </c>
      <c r="D131" t="s">
        <v>10</v>
      </c>
      <c r="E131" t="s">
        <v>42</v>
      </c>
      <c r="F131" t="s">
        <v>43</v>
      </c>
      <c r="G131">
        <v>43</v>
      </c>
    </row>
    <row r="132" spans="1:7" hidden="1" x14ac:dyDescent="0.35">
      <c r="A132" t="s">
        <v>125</v>
      </c>
      <c r="B132" t="s">
        <v>89</v>
      </c>
      <c r="C132" t="s">
        <v>57</v>
      </c>
      <c r="D132" t="s">
        <v>10</v>
      </c>
      <c r="E132" t="s">
        <v>15</v>
      </c>
      <c r="F132" t="s">
        <v>16</v>
      </c>
      <c r="G132">
        <v>11</v>
      </c>
    </row>
    <row r="133" spans="1:7" hidden="1" x14ac:dyDescent="0.35">
      <c r="A133" t="s">
        <v>125</v>
      </c>
      <c r="B133" t="s">
        <v>89</v>
      </c>
      <c r="C133" t="s">
        <v>57</v>
      </c>
      <c r="D133" t="s">
        <v>10</v>
      </c>
      <c r="E133" t="s">
        <v>17</v>
      </c>
      <c r="F133" t="s">
        <v>18</v>
      </c>
      <c r="G133">
        <v>40</v>
      </c>
    </row>
    <row r="134" spans="1:7" hidden="1" x14ac:dyDescent="0.35">
      <c r="A134" t="s">
        <v>125</v>
      </c>
      <c r="B134" t="s">
        <v>89</v>
      </c>
      <c r="C134" t="s">
        <v>57</v>
      </c>
      <c r="D134" t="s">
        <v>10</v>
      </c>
      <c r="E134" t="s">
        <v>19</v>
      </c>
      <c r="F134" t="s">
        <v>20</v>
      </c>
      <c r="G134">
        <v>46</v>
      </c>
    </row>
    <row r="135" spans="1:7" hidden="1" x14ac:dyDescent="0.35">
      <c r="A135" t="s">
        <v>125</v>
      </c>
      <c r="B135" t="s">
        <v>89</v>
      </c>
      <c r="C135" t="s">
        <v>57</v>
      </c>
      <c r="D135" t="s">
        <v>21</v>
      </c>
      <c r="E135" t="s">
        <v>126</v>
      </c>
      <c r="F135" t="s">
        <v>127</v>
      </c>
      <c r="G135">
        <v>1</v>
      </c>
    </row>
    <row r="136" spans="1:7" hidden="1" x14ac:dyDescent="0.35">
      <c r="A136" t="s">
        <v>125</v>
      </c>
      <c r="B136" t="s">
        <v>89</v>
      </c>
      <c r="C136" t="s">
        <v>57</v>
      </c>
      <c r="D136" t="s">
        <v>21</v>
      </c>
      <c r="E136" t="s">
        <v>128</v>
      </c>
      <c r="F136" t="s">
        <v>129</v>
      </c>
      <c r="G136">
        <v>2</v>
      </c>
    </row>
    <row r="137" spans="1:7" hidden="1" x14ac:dyDescent="0.35">
      <c r="A137" t="s">
        <v>125</v>
      </c>
      <c r="B137" t="s">
        <v>89</v>
      </c>
      <c r="C137" t="s">
        <v>57</v>
      </c>
      <c r="D137" t="s">
        <v>21</v>
      </c>
      <c r="E137" t="s">
        <v>130</v>
      </c>
      <c r="F137" t="s">
        <v>131</v>
      </c>
      <c r="G137">
        <v>2</v>
      </c>
    </row>
    <row r="138" spans="1:7" hidden="1" x14ac:dyDescent="0.35">
      <c r="A138" t="s">
        <v>125</v>
      </c>
      <c r="B138" t="s">
        <v>89</v>
      </c>
      <c r="C138" t="s">
        <v>57</v>
      </c>
      <c r="D138" t="s">
        <v>21</v>
      </c>
      <c r="E138" t="s">
        <v>44</v>
      </c>
      <c r="F138" t="s">
        <v>45</v>
      </c>
      <c r="G138">
        <v>32</v>
      </c>
    </row>
    <row r="139" spans="1:7" hidden="1" x14ac:dyDescent="0.35">
      <c r="A139" t="s">
        <v>125</v>
      </c>
      <c r="B139" t="s">
        <v>89</v>
      </c>
      <c r="C139" t="s">
        <v>57</v>
      </c>
      <c r="D139" t="s">
        <v>21</v>
      </c>
      <c r="E139" t="s">
        <v>106</v>
      </c>
      <c r="F139" t="s">
        <v>107</v>
      </c>
      <c r="G139">
        <v>3</v>
      </c>
    </row>
    <row r="140" spans="1:7" hidden="1" x14ac:dyDescent="0.35">
      <c r="A140" t="s">
        <v>125</v>
      </c>
      <c r="B140" t="s">
        <v>89</v>
      </c>
      <c r="C140" t="s">
        <v>57</v>
      </c>
      <c r="D140" t="s">
        <v>21</v>
      </c>
      <c r="E140" t="s">
        <v>132</v>
      </c>
      <c r="F140" t="s">
        <v>133</v>
      </c>
      <c r="G140">
        <v>2</v>
      </c>
    </row>
    <row r="141" spans="1:7" hidden="1" x14ac:dyDescent="0.35">
      <c r="A141" t="s">
        <v>125</v>
      </c>
      <c r="B141" t="s">
        <v>89</v>
      </c>
      <c r="C141" t="s">
        <v>57</v>
      </c>
      <c r="D141" t="s">
        <v>21</v>
      </c>
      <c r="E141" t="s">
        <v>108</v>
      </c>
      <c r="F141" t="s">
        <v>109</v>
      </c>
      <c r="G141">
        <v>13</v>
      </c>
    </row>
    <row r="142" spans="1:7" hidden="1" x14ac:dyDescent="0.35">
      <c r="A142" t="s">
        <v>125</v>
      </c>
      <c r="B142" t="s">
        <v>89</v>
      </c>
      <c r="C142" t="s">
        <v>57</v>
      </c>
      <c r="D142" t="s">
        <v>21</v>
      </c>
      <c r="E142" t="s">
        <v>134</v>
      </c>
      <c r="F142" t="s">
        <v>135</v>
      </c>
      <c r="G142">
        <v>1</v>
      </c>
    </row>
    <row r="143" spans="1:7" hidden="1" x14ac:dyDescent="0.35">
      <c r="A143" t="s">
        <v>125</v>
      </c>
      <c r="B143" t="s">
        <v>89</v>
      </c>
      <c r="C143" t="s">
        <v>57</v>
      </c>
      <c r="D143" t="s">
        <v>30</v>
      </c>
      <c r="E143" t="s">
        <v>136</v>
      </c>
      <c r="F143" t="s">
        <v>137</v>
      </c>
      <c r="G143">
        <v>1</v>
      </c>
    </row>
    <row r="144" spans="1:7" hidden="1" x14ac:dyDescent="0.35">
      <c r="A144" t="s">
        <v>125</v>
      </c>
      <c r="B144" t="s">
        <v>89</v>
      </c>
      <c r="C144" t="s">
        <v>57</v>
      </c>
      <c r="D144" t="s">
        <v>30</v>
      </c>
      <c r="E144" t="s">
        <v>138</v>
      </c>
      <c r="F144" t="s">
        <v>139</v>
      </c>
      <c r="G144">
        <v>1</v>
      </c>
    </row>
    <row r="145" spans="1:7" hidden="1" x14ac:dyDescent="0.35">
      <c r="A145" t="s">
        <v>125</v>
      </c>
      <c r="B145" t="s">
        <v>89</v>
      </c>
      <c r="C145" t="s">
        <v>57</v>
      </c>
      <c r="D145" t="s">
        <v>30</v>
      </c>
      <c r="E145" t="s">
        <v>140</v>
      </c>
      <c r="F145" t="s">
        <v>141</v>
      </c>
      <c r="G145">
        <v>1</v>
      </c>
    </row>
    <row r="146" spans="1:7" hidden="1" x14ac:dyDescent="0.35">
      <c r="A146" t="s">
        <v>125</v>
      </c>
      <c r="B146" t="s">
        <v>89</v>
      </c>
      <c r="C146" t="s">
        <v>57</v>
      </c>
      <c r="D146" t="s">
        <v>30</v>
      </c>
      <c r="E146" t="s">
        <v>142</v>
      </c>
      <c r="F146" t="s">
        <v>143</v>
      </c>
      <c r="G146">
        <v>1</v>
      </c>
    </row>
    <row r="147" spans="1:7" hidden="1" x14ac:dyDescent="0.35">
      <c r="A147" t="s">
        <v>125</v>
      </c>
      <c r="B147" t="s">
        <v>89</v>
      </c>
      <c r="C147" t="s">
        <v>57</v>
      </c>
      <c r="D147" t="s">
        <v>30</v>
      </c>
      <c r="E147" t="s">
        <v>50</v>
      </c>
      <c r="F147" t="s">
        <v>51</v>
      </c>
      <c r="G147">
        <v>24</v>
      </c>
    </row>
    <row r="148" spans="1:7" hidden="1" x14ac:dyDescent="0.35">
      <c r="A148" t="s">
        <v>125</v>
      </c>
      <c r="B148" t="s">
        <v>89</v>
      </c>
      <c r="C148" t="s">
        <v>57</v>
      </c>
      <c r="D148" t="s">
        <v>30</v>
      </c>
      <c r="E148" t="s">
        <v>52</v>
      </c>
      <c r="F148" t="s">
        <v>53</v>
      </c>
      <c r="G148">
        <v>26</v>
      </c>
    </row>
    <row r="149" spans="1:7" hidden="1" x14ac:dyDescent="0.35">
      <c r="A149" t="s">
        <v>125</v>
      </c>
      <c r="B149" t="s">
        <v>89</v>
      </c>
      <c r="C149" t="s">
        <v>57</v>
      </c>
      <c r="D149" t="s">
        <v>30</v>
      </c>
      <c r="E149" t="s">
        <v>54</v>
      </c>
      <c r="F149" t="s">
        <v>55</v>
      </c>
      <c r="G149">
        <v>39</v>
      </c>
    </row>
    <row r="150" spans="1:7" hidden="1" x14ac:dyDescent="0.35">
      <c r="A150" t="s">
        <v>144</v>
      </c>
      <c r="B150" t="s">
        <v>145</v>
      </c>
      <c r="C150" t="s">
        <v>57</v>
      </c>
      <c r="D150" t="s">
        <v>10</v>
      </c>
      <c r="E150" t="s">
        <v>37</v>
      </c>
      <c r="F150" t="s">
        <v>32</v>
      </c>
      <c r="G150">
        <v>14</v>
      </c>
    </row>
    <row r="151" spans="1:7" hidden="1" x14ac:dyDescent="0.35">
      <c r="A151" t="s">
        <v>144</v>
      </c>
      <c r="B151" t="s">
        <v>145</v>
      </c>
      <c r="C151" t="s">
        <v>57</v>
      </c>
      <c r="D151" t="s">
        <v>10</v>
      </c>
      <c r="E151" t="s">
        <v>40</v>
      </c>
      <c r="F151" t="s">
        <v>41</v>
      </c>
      <c r="G151">
        <v>47</v>
      </c>
    </row>
    <row r="152" spans="1:7" hidden="1" x14ac:dyDescent="0.35">
      <c r="A152" t="s">
        <v>144</v>
      </c>
      <c r="B152" t="s">
        <v>145</v>
      </c>
      <c r="C152" t="s">
        <v>57</v>
      </c>
      <c r="D152" t="s">
        <v>10</v>
      </c>
      <c r="E152" t="s">
        <v>17</v>
      </c>
      <c r="F152" t="s">
        <v>18</v>
      </c>
      <c r="G152">
        <v>40</v>
      </c>
    </row>
    <row r="153" spans="1:7" hidden="1" x14ac:dyDescent="0.35">
      <c r="A153" t="s">
        <v>144</v>
      </c>
      <c r="B153" t="s">
        <v>145</v>
      </c>
      <c r="C153" t="s">
        <v>57</v>
      </c>
      <c r="D153" t="s">
        <v>10</v>
      </c>
      <c r="E153" t="s">
        <v>19</v>
      </c>
      <c r="F153" t="s">
        <v>20</v>
      </c>
      <c r="G153">
        <v>46</v>
      </c>
    </row>
    <row r="154" spans="1:7" hidden="1" x14ac:dyDescent="0.35">
      <c r="A154" t="s">
        <v>144</v>
      </c>
      <c r="B154" t="s">
        <v>145</v>
      </c>
      <c r="C154" t="s">
        <v>57</v>
      </c>
      <c r="D154" t="s">
        <v>21</v>
      </c>
      <c r="E154" t="s">
        <v>22</v>
      </c>
      <c r="F154" t="s">
        <v>23</v>
      </c>
      <c r="G154">
        <v>36</v>
      </c>
    </row>
    <row r="155" spans="1:7" hidden="1" x14ac:dyDescent="0.35">
      <c r="A155" t="s">
        <v>144</v>
      </c>
      <c r="B155" t="s">
        <v>145</v>
      </c>
      <c r="C155" t="s">
        <v>57</v>
      </c>
      <c r="D155" t="s">
        <v>21</v>
      </c>
      <c r="E155" t="s">
        <v>44</v>
      </c>
      <c r="F155" t="s">
        <v>45</v>
      </c>
      <c r="G155">
        <v>32</v>
      </c>
    </row>
    <row r="156" spans="1:7" hidden="1" x14ac:dyDescent="0.35">
      <c r="A156" t="s">
        <v>144</v>
      </c>
      <c r="B156" t="s">
        <v>145</v>
      </c>
      <c r="C156" t="s">
        <v>57</v>
      </c>
      <c r="D156" t="s">
        <v>21</v>
      </c>
      <c r="E156" t="s">
        <v>28</v>
      </c>
      <c r="F156" t="s">
        <v>29</v>
      </c>
      <c r="G156">
        <v>28</v>
      </c>
    </row>
    <row r="157" spans="1:7" hidden="1" x14ac:dyDescent="0.35">
      <c r="A157" t="s">
        <v>144</v>
      </c>
      <c r="B157" t="s">
        <v>145</v>
      </c>
      <c r="C157" t="s">
        <v>57</v>
      </c>
      <c r="D157" t="s">
        <v>30</v>
      </c>
      <c r="E157" t="s">
        <v>146</v>
      </c>
      <c r="F157" t="s">
        <v>147</v>
      </c>
      <c r="G157">
        <v>1</v>
      </c>
    </row>
    <row r="158" spans="1:7" hidden="1" x14ac:dyDescent="0.35">
      <c r="A158" t="s">
        <v>148</v>
      </c>
      <c r="B158" t="s">
        <v>145</v>
      </c>
      <c r="C158" t="s">
        <v>57</v>
      </c>
      <c r="D158" t="s">
        <v>10</v>
      </c>
      <c r="E158" t="s">
        <v>40</v>
      </c>
      <c r="F158" t="s">
        <v>41</v>
      </c>
      <c r="G158">
        <v>47</v>
      </c>
    </row>
    <row r="159" spans="1:7" hidden="1" x14ac:dyDescent="0.35">
      <c r="A159" t="s">
        <v>148</v>
      </c>
      <c r="B159" t="s">
        <v>145</v>
      </c>
      <c r="C159" t="s">
        <v>57</v>
      </c>
      <c r="D159" t="s">
        <v>10</v>
      </c>
      <c r="E159" t="s">
        <v>42</v>
      </c>
      <c r="F159" t="s">
        <v>43</v>
      </c>
      <c r="G159">
        <v>43</v>
      </c>
    </row>
    <row r="160" spans="1:7" hidden="1" x14ac:dyDescent="0.35">
      <c r="A160" t="s">
        <v>148</v>
      </c>
      <c r="B160" t="s">
        <v>145</v>
      </c>
      <c r="C160" t="s">
        <v>57</v>
      </c>
      <c r="D160" t="s">
        <v>10</v>
      </c>
      <c r="E160" t="s">
        <v>17</v>
      </c>
      <c r="F160" t="s">
        <v>18</v>
      </c>
      <c r="G160">
        <v>40</v>
      </c>
    </row>
    <row r="161" spans="1:7" hidden="1" x14ac:dyDescent="0.35">
      <c r="A161" t="s">
        <v>148</v>
      </c>
      <c r="B161" t="s">
        <v>145</v>
      </c>
      <c r="C161" t="s">
        <v>57</v>
      </c>
      <c r="D161" t="s">
        <v>10</v>
      </c>
      <c r="E161" t="s">
        <v>19</v>
      </c>
      <c r="F161" t="s">
        <v>20</v>
      </c>
      <c r="G161">
        <v>46</v>
      </c>
    </row>
    <row r="162" spans="1:7" hidden="1" x14ac:dyDescent="0.35">
      <c r="A162" t="s">
        <v>148</v>
      </c>
      <c r="B162" t="s">
        <v>145</v>
      </c>
      <c r="C162" t="s">
        <v>57</v>
      </c>
      <c r="D162" t="s">
        <v>21</v>
      </c>
      <c r="E162" t="s">
        <v>22</v>
      </c>
      <c r="F162" t="s">
        <v>23</v>
      </c>
      <c r="G162">
        <v>36</v>
      </c>
    </row>
    <row r="163" spans="1:7" hidden="1" x14ac:dyDescent="0.35">
      <c r="A163" t="s">
        <v>148</v>
      </c>
      <c r="B163" t="s">
        <v>145</v>
      </c>
      <c r="C163" t="s">
        <v>57</v>
      </c>
      <c r="D163" t="s">
        <v>21</v>
      </c>
      <c r="E163" t="s">
        <v>113</v>
      </c>
      <c r="F163" t="s">
        <v>114</v>
      </c>
      <c r="G163">
        <v>3</v>
      </c>
    </row>
    <row r="164" spans="1:7" hidden="1" x14ac:dyDescent="0.35">
      <c r="A164" t="s">
        <v>148</v>
      </c>
      <c r="B164" t="s">
        <v>145</v>
      </c>
      <c r="C164" t="s">
        <v>57</v>
      </c>
      <c r="D164" t="s">
        <v>21</v>
      </c>
      <c r="E164" t="s">
        <v>115</v>
      </c>
      <c r="F164" t="s">
        <v>116</v>
      </c>
      <c r="G164">
        <v>3</v>
      </c>
    </row>
    <row r="165" spans="1:7" hidden="1" x14ac:dyDescent="0.35">
      <c r="A165" t="s">
        <v>148</v>
      </c>
      <c r="B165" t="s">
        <v>145</v>
      </c>
      <c r="C165" t="s">
        <v>57</v>
      </c>
      <c r="D165" t="s">
        <v>21</v>
      </c>
      <c r="E165" t="s">
        <v>119</v>
      </c>
      <c r="F165" t="s">
        <v>120</v>
      </c>
      <c r="G165">
        <v>3</v>
      </c>
    </row>
    <row r="166" spans="1:7" hidden="1" x14ac:dyDescent="0.35">
      <c r="A166" t="s">
        <v>148</v>
      </c>
      <c r="B166" t="s">
        <v>145</v>
      </c>
      <c r="C166" t="s">
        <v>57</v>
      </c>
      <c r="D166" t="s">
        <v>21</v>
      </c>
      <c r="E166" t="s">
        <v>117</v>
      </c>
      <c r="F166" t="s">
        <v>118</v>
      </c>
      <c r="G166">
        <v>2</v>
      </c>
    </row>
    <row r="167" spans="1:7" hidden="1" x14ac:dyDescent="0.35">
      <c r="A167" t="s">
        <v>148</v>
      </c>
      <c r="B167" t="s">
        <v>145</v>
      </c>
      <c r="C167" t="s">
        <v>57</v>
      </c>
      <c r="D167" t="s">
        <v>21</v>
      </c>
      <c r="E167" t="s">
        <v>44</v>
      </c>
      <c r="F167" t="s">
        <v>45</v>
      </c>
      <c r="G167">
        <v>32</v>
      </c>
    </row>
    <row r="168" spans="1:7" hidden="1" x14ac:dyDescent="0.35">
      <c r="A168" t="s">
        <v>148</v>
      </c>
      <c r="B168" t="s">
        <v>145</v>
      </c>
      <c r="C168" t="s">
        <v>57</v>
      </c>
      <c r="D168" t="s">
        <v>21</v>
      </c>
      <c r="E168" t="s">
        <v>108</v>
      </c>
      <c r="F168" t="s">
        <v>109</v>
      </c>
      <c r="G168">
        <v>13</v>
      </c>
    </row>
    <row r="169" spans="1:7" hidden="1" x14ac:dyDescent="0.35">
      <c r="A169" t="s">
        <v>148</v>
      </c>
      <c r="B169" t="s">
        <v>145</v>
      </c>
      <c r="C169" t="s">
        <v>57</v>
      </c>
      <c r="D169" t="s">
        <v>21</v>
      </c>
      <c r="E169" t="s">
        <v>68</v>
      </c>
      <c r="F169" t="s">
        <v>69</v>
      </c>
      <c r="G169">
        <v>13</v>
      </c>
    </row>
    <row r="170" spans="1:7" hidden="1" x14ac:dyDescent="0.35">
      <c r="A170" t="s">
        <v>148</v>
      </c>
      <c r="B170" t="s">
        <v>145</v>
      </c>
      <c r="C170" t="s">
        <v>57</v>
      </c>
      <c r="D170" t="s">
        <v>30</v>
      </c>
      <c r="E170" t="s">
        <v>149</v>
      </c>
      <c r="F170" t="s">
        <v>150</v>
      </c>
      <c r="G170">
        <v>1</v>
      </c>
    </row>
    <row r="171" spans="1:7" hidden="1" x14ac:dyDescent="0.35">
      <c r="A171" t="s">
        <v>148</v>
      </c>
      <c r="B171" t="s">
        <v>145</v>
      </c>
      <c r="C171" t="s">
        <v>57</v>
      </c>
      <c r="D171" t="s">
        <v>30</v>
      </c>
      <c r="E171" t="s">
        <v>123</v>
      </c>
      <c r="F171" t="s">
        <v>124</v>
      </c>
      <c r="G171">
        <v>3</v>
      </c>
    </row>
    <row r="172" spans="1:7" hidden="1" x14ac:dyDescent="0.35">
      <c r="A172" t="s">
        <v>148</v>
      </c>
      <c r="B172" t="s">
        <v>145</v>
      </c>
      <c r="C172" t="s">
        <v>57</v>
      </c>
      <c r="D172" t="s">
        <v>30</v>
      </c>
      <c r="E172" t="s">
        <v>54</v>
      </c>
      <c r="F172" t="s">
        <v>55</v>
      </c>
      <c r="G172">
        <v>39</v>
      </c>
    </row>
    <row r="173" spans="1:7" hidden="1" x14ac:dyDescent="0.35">
      <c r="A173" t="s">
        <v>151</v>
      </c>
      <c r="B173" t="s">
        <v>145</v>
      </c>
      <c r="C173" t="s">
        <v>57</v>
      </c>
      <c r="D173" t="s">
        <v>10</v>
      </c>
      <c r="E173" t="s">
        <v>40</v>
      </c>
      <c r="F173" t="s">
        <v>41</v>
      </c>
      <c r="G173">
        <v>47</v>
      </c>
    </row>
    <row r="174" spans="1:7" hidden="1" x14ac:dyDescent="0.35">
      <c r="A174" t="s">
        <v>151</v>
      </c>
      <c r="B174" t="s">
        <v>145</v>
      </c>
      <c r="C174" t="s">
        <v>57</v>
      </c>
      <c r="D174" t="s">
        <v>10</v>
      </c>
      <c r="E174" t="s">
        <v>42</v>
      </c>
      <c r="F174" t="s">
        <v>43</v>
      </c>
      <c r="G174">
        <v>43</v>
      </c>
    </row>
    <row r="175" spans="1:7" hidden="1" x14ac:dyDescent="0.35">
      <c r="A175" t="s">
        <v>151</v>
      </c>
      <c r="B175" t="s">
        <v>145</v>
      </c>
      <c r="C175" t="s">
        <v>57</v>
      </c>
      <c r="D175" t="s">
        <v>10</v>
      </c>
      <c r="E175" t="s">
        <v>38</v>
      </c>
      <c r="F175" t="s">
        <v>39</v>
      </c>
      <c r="G175">
        <v>5</v>
      </c>
    </row>
    <row r="176" spans="1:7" hidden="1" x14ac:dyDescent="0.35">
      <c r="A176" t="s">
        <v>151</v>
      </c>
      <c r="B176" t="s">
        <v>145</v>
      </c>
      <c r="C176" t="s">
        <v>57</v>
      </c>
      <c r="D176" t="s">
        <v>10</v>
      </c>
      <c r="E176" t="s">
        <v>15</v>
      </c>
      <c r="F176" t="s">
        <v>16</v>
      </c>
      <c r="G176">
        <v>11</v>
      </c>
    </row>
    <row r="177" spans="1:7" hidden="1" x14ac:dyDescent="0.35">
      <c r="A177" t="s">
        <v>151</v>
      </c>
      <c r="B177" t="s">
        <v>145</v>
      </c>
      <c r="C177" t="s">
        <v>57</v>
      </c>
      <c r="D177" t="s">
        <v>10</v>
      </c>
      <c r="E177" t="s">
        <v>17</v>
      </c>
      <c r="F177" t="s">
        <v>18</v>
      </c>
      <c r="G177">
        <v>40</v>
      </c>
    </row>
    <row r="178" spans="1:7" hidden="1" x14ac:dyDescent="0.35">
      <c r="A178" t="s">
        <v>151</v>
      </c>
      <c r="B178" t="s">
        <v>145</v>
      </c>
      <c r="C178" t="s">
        <v>57</v>
      </c>
      <c r="D178" t="s">
        <v>10</v>
      </c>
      <c r="E178" t="s">
        <v>19</v>
      </c>
      <c r="F178" t="s">
        <v>20</v>
      </c>
      <c r="G178">
        <v>46</v>
      </c>
    </row>
    <row r="179" spans="1:7" hidden="1" x14ac:dyDescent="0.35">
      <c r="A179" t="s">
        <v>151</v>
      </c>
      <c r="B179" t="s">
        <v>145</v>
      </c>
      <c r="C179" t="s">
        <v>57</v>
      </c>
      <c r="D179" t="s">
        <v>21</v>
      </c>
      <c r="E179" t="s">
        <v>22</v>
      </c>
      <c r="F179" t="s">
        <v>23</v>
      </c>
      <c r="G179">
        <v>36</v>
      </c>
    </row>
    <row r="180" spans="1:7" hidden="1" x14ac:dyDescent="0.35">
      <c r="A180" t="s">
        <v>151</v>
      </c>
      <c r="B180" t="s">
        <v>145</v>
      </c>
      <c r="C180" t="s">
        <v>57</v>
      </c>
      <c r="D180" t="s">
        <v>21</v>
      </c>
      <c r="E180" t="s">
        <v>152</v>
      </c>
      <c r="F180" t="s">
        <v>153</v>
      </c>
      <c r="G180">
        <v>1</v>
      </c>
    </row>
    <row r="181" spans="1:7" hidden="1" x14ac:dyDescent="0.35">
      <c r="A181" t="s">
        <v>151</v>
      </c>
      <c r="B181" t="s">
        <v>145</v>
      </c>
      <c r="C181" t="s">
        <v>57</v>
      </c>
      <c r="D181" t="s">
        <v>21</v>
      </c>
      <c r="E181" t="s">
        <v>44</v>
      </c>
      <c r="F181" t="s">
        <v>45</v>
      </c>
      <c r="G181">
        <v>32</v>
      </c>
    </row>
    <row r="182" spans="1:7" hidden="1" x14ac:dyDescent="0.35">
      <c r="A182" t="s">
        <v>151</v>
      </c>
      <c r="B182" t="s">
        <v>145</v>
      </c>
      <c r="C182" t="s">
        <v>57</v>
      </c>
      <c r="D182" t="s">
        <v>21</v>
      </c>
      <c r="E182" t="s">
        <v>154</v>
      </c>
      <c r="F182" t="s">
        <v>155</v>
      </c>
      <c r="G182">
        <v>1</v>
      </c>
    </row>
    <row r="183" spans="1:7" hidden="1" x14ac:dyDescent="0.35">
      <c r="A183" t="s">
        <v>151</v>
      </c>
      <c r="B183" t="s">
        <v>145</v>
      </c>
      <c r="C183" t="s">
        <v>57</v>
      </c>
      <c r="D183" t="s">
        <v>21</v>
      </c>
      <c r="E183" t="s">
        <v>156</v>
      </c>
      <c r="F183" t="s">
        <v>157</v>
      </c>
      <c r="G183">
        <v>1</v>
      </c>
    </row>
    <row r="184" spans="1:7" hidden="1" x14ac:dyDescent="0.35">
      <c r="A184" t="s">
        <v>151</v>
      </c>
      <c r="B184" t="s">
        <v>145</v>
      </c>
      <c r="C184" t="s">
        <v>57</v>
      </c>
      <c r="D184" t="s">
        <v>21</v>
      </c>
      <c r="E184" t="s">
        <v>158</v>
      </c>
      <c r="F184" t="s">
        <v>159</v>
      </c>
      <c r="G184">
        <v>1</v>
      </c>
    </row>
    <row r="185" spans="1:7" hidden="1" x14ac:dyDescent="0.35">
      <c r="A185" t="s">
        <v>151</v>
      </c>
      <c r="B185" t="s">
        <v>145</v>
      </c>
      <c r="C185" t="s">
        <v>57</v>
      </c>
      <c r="D185" t="s">
        <v>30</v>
      </c>
      <c r="E185" t="s">
        <v>160</v>
      </c>
      <c r="F185" t="s">
        <v>161</v>
      </c>
      <c r="G185">
        <v>1</v>
      </c>
    </row>
    <row r="186" spans="1:7" hidden="1" x14ac:dyDescent="0.35">
      <c r="A186" t="s">
        <v>151</v>
      </c>
      <c r="B186" t="s">
        <v>145</v>
      </c>
      <c r="C186" t="s">
        <v>57</v>
      </c>
      <c r="D186" t="s">
        <v>30</v>
      </c>
      <c r="E186" t="s">
        <v>162</v>
      </c>
      <c r="F186" t="s">
        <v>163</v>
      </c>
      <c r="G186">
        <v>1</v>
      </c>
    </row>
    <row r="187" spans="1:7" hidden="1" x14ac:dyDescent="0.35">
      <c r="A187" t="s">
        <v>151</v>
      </c>
      <c r="B187" t="s">
        <v>145</v>
      </c>
      <c r="C187" t="s">
        <v>57</v>
      </c>
      <c r="D187" t="s">
        <v>30</v>
      </c>
      <c r="E187" t="s">
        <v>54</v>
      </c>
      <c r="F187" t="s">
        <v>55</v>
      </c>
      <c r="G187">
        <v>39</v>
      </c>
    </row>
    <row r="188" spans="1:7" hidden="1" x14ac:dyDescent="0.35">
      <c r="A188" t="s">
        <v>164</v>
      </c>
      <c r="B188" t="s">
        <v>165</v>
      </c>
      <c r="C188" t="s">
        <v>57</v>
      </c>
      <c r="D188" t="s">
        <v>10</v>
      </c>
      <c r="E188" t="s">
        <v>37</v>
      </c>
      <c r="F188" t="s">
        <v>32</v>
      </c>
      <c r="G188">
        <v>14</v>
      </c>
    </row>
    <row r="189" spans="1:7" hidden="1" x14ac:dyDescent="0.35">
      <c r="A189" t="s">
        <v>164</v>
      </c>
      <c r="B189" t="s">
        <v>165</v>
      </c>
      <c r="C189" t="s">
        <v>57</v>
      </c>
      <c r="D189" t="s">
        <v>10</v>
      </c>
      <c r="E189" t="s">
        <v>40</v>
      </c>
      <c r="F189" t="s">
        <v>41</v>
      </c>
      <c r="G189">
        <v>47</v>
      </c>
    </row>
    <row r="190" spans="1:7" hidden="1" x14ac:dyDescent="0.35">
      <c r="A190" t="s">
        <v>164</v>
      </c>
      <c r="B190" t="s">
        <v>165</v>
      </c>
      <c r="C190" t="s">
        <v>57</v>
      </c>
      <c r="D190" t="s">
        <v>10</v>
      </c>
      <c r="E190" t="s">
        <v>42</v>
      </c>
      <c r="F190" t="s">
        <v>43</v>
      </c>
      <c r="G190">
        <v>43</v>
      </c>
    </row>
    <row r="191" spans="1:7" hidden="1" x14ac:dyDescent="0.35">
      <c r="A191" t="s">
        <v>164</v>
      </c>
      <c r="B191" t="s">
        <v>165</v>
      </c>
      <c r="C191" t="s">
        <v>57</v>
      </c>
      <c r="D191" t="s">
        <v>10</v>
      </c>
      <c r="E191" t="s">
        <v>17</v>
      </c>
      <c r="F191" t="s">
        <v>18</v>
      </c>
      <c r="G191">
        <v>40</v>
      </c>
    </row>
    <row r="192" spans="1:7" hidden="1" x14ac:dyDescent="0.35">
      <c r="A192" t="s">
        <v>164</v>
      </c>
      <c r="B192" t="s">
        <v>165</v>
      </c>
      <c r="C192" t="s">
        <v>57</v>
      </c>
      <c r="D192" t="s">
        <v>10</v>
      </c>
      <c r="E192" t="s">
        <v>19</v>
      </c>
      <c r="F192" t="s">
        <v>20</v>
      </c>
      <c r="G192">
        <v>46</v>
      </c>
    </row>
    <row r="193" spans="1:7" hidden="1" x14ac:dyDescent="0.35">
      <c r="A193" t="s">
        <v>164</v>
      </c>
      <c r="B193" t="s">
        <v>165</v>
      </c>
      <c r="C193" t="s">
        <v>57</v>
      </c>
      <c r="D193" t="s">
        <v>21</v>
      </c>
      <c r="E193" t="s">
        <v>22</v>
      </c>
      <c r="F193" t="s">
        <v>23</v>
      </c>
      <c r="G193">
        <v>36</v>
      </c>
    </row>
    <row r="194" spans="1:7" hidden="1" x14ac:dyDescent="0.35">
      <c r="A194" t="s">
        <v>164</v>
      </c>
      <c r="B194" t="s">
        <v>165</v>
      </c>
      <c r="C194" t="s">
        <v>57</v>
      </c>
      <c r="D194" t="s">
        <v>21</v>
      </c>
      <c r="E194" t="s">
        <v>24</v>
      </c>
      <c r="F194" t="s">
        <v>25</v>
      </c>
      <c r="G194">
        <v>13</v>
      </c>
    </row>
    <row r="195" spans="1:7" hidden="1" x14ac:dyDescent="0.35">
      <c r="A195" t="s">
        <v>164</v>
      </c>
      <c r="B195" t="s">
        <v>165</v>
      </c>
      <c r="C195" t="s">
        <v>57</v>
      </c>
      <c r="D195" t="s">
        <v>21</v>
      </c>
      <c r="E195" t="s">
        <v>44</v>
      </c>
      <c r="F195" t="s">
        <v>45</v>
      </c>
      <c r="G195">
        <v>32</v>
      </c>
    </row>
    <row r="196" spans="1:7" hidden="1" x14ac:dyDescent="0.35">
      <c r="A196" t="s">
        <v>164</v>
      </c>
      <c r="B196" t="s">
        <v>165</v>
      </c>
      <c r="C196" t="s">
        <v>57</v>
      </c>
      <c r="D196" t="s">
        <v>21</v>
      </c>
      <c r="E196" t="s">
        <v>68</v>
      </c>
      <c r="F196" t="s">
        <v>69</v>
      </c>
      <c r="G196">
        <v>13</v>
      </c>
    </row>
    <row r="197" spans="1:7" hidden="1" x14ac:dyDescent="0.35">
      <c r="A197" t="s">
        <v>164</v>
      </c>
      <c r="B197" t="s">
        <v>165</v>
      </c>
      <c r="C197" t="s">
        <v>57</v>
      </c>
      <c r="D197" t="s">
        <v>21</v>
      </c>
      <c r="E197" t="s">
        <v>46</v>
      </c>
      <c r="F197" t="s">
        <v>47</v>
      </c>
      <c r="G197">
        <v>11</v>
      </c>
    </row>
    <row r="198" spans="1:7" hidden="1" x14ac:dyDescent="0.35">
      <c r="A198" t="s">
        <v>164</v>
      </c>
      <c r="B198" t="s">
        <v>165</v>
      </c>
      <c r="C198" t="s">
        <v>57</v>
      </c>
      <c r="D198" t="s">
        <v>21</v>
      </c>
      <c r="E198" t="s">
        <v>166</v>
      </c>
      <c r="F198" t="s">
        <v>167</v>
      </c>
      <c r="G198">
        <v>1</v>
      </c>
    </row>
    <row r="199" spans="1:7" hidden="1" x14ac:dyDescent="0.35">
      <c r="A199" t="s">
        <v>164</v>
      </c>
      <c r="B199" t="s">
        <v>165</v>
      </c>
      <c r="C199" t="s">
        <v>57</v>
      </c>
      <c r="D199" t="s">
        <v>21</v>
      </c>
      <c r="E199" t="s">
        <v>28</v>
      </c>
      <c r="F199" t="s">
        <v>29</v>
      </c>
      <c r="G199">
        <v>28</v>
      </c>
    </row>
    <row r="200" spans="1:7" hidden="1" x14ac:dyDescent="0.35">
      <c r="A200" t="s">
        <v>164</v>
      </c>
      <c r="B200" t="s">
        <v>165</v>
      </c>
      <c r="C200" t="s">
        <v>57</v>
      </c>
      <c r="D200" t="s">
        <v>30</v>
      </c>
      <c r="E200" t="s">
        <v>168</v>
      </c>
      <c r="F200" t="s">
        <v>169</v>
      </c>
      <c r="G200">
        <v>1</v>
      </c>
    </row>
    <row r="201" spans="1:7" hidden="1" x14ac:dyDescent="0.35">
      <c r="A201" t="s">
        <v>164</v>
      </c>
      <c r="B201" t="s">
        <v>165</v>
      </c>
      <c r="C201" t="s">
        <v>57</v>
      </c>
      <c r="D201" t="s">
        <v>30</v>
      </c>
      <c r="E201" t="s">
        <v>170</v>
      </c>
      <c r="F201" t="s">
        <v>171</v>
      </c>
      <c r="G201">
        <v>1</v>
      </c>
    </row>
    <row r="202" spans="1:7" hidden="1" x14ac:dyDescent="0.35">
      <c r="A202" t="s">
        <v>164</v>
      </c>
      <c r="B202" t="s">
        <v>165</v>
      </c>
      <c r="C202" t="s">
        <v>57</v>
      </c>
      <c r="D202" t="s">
        <v>30</v>
      </c>
      <c r="E202" t="s">
        <v>52</v>
      </c>
      <c r="F202" t="s">
        <v>53</v>
      </c>
      <c r="G202">
        <v>26</v>
      </c>
    </row>
    <row r="203" spans="1:7" hidden="1" x14ac:dyDescent="0.35">
      <c r="A203" t="s">
        <v>164</v>
      </c>
      <c r="B203" t="s">
        <v>165</v>
      </c>
      <c r="C203" t="s">
        <v>57</v>
      </c>
      <c r="D203" t="s">
        <v>30</v>
      </c>
      <c r="E203" t="s">
        <v>54</v>
      </c>
      <c r="F203" t="s">
        <v>55</v>
      </c>
      <c r="G203">
        <v>39</v>
      </c>
    </row>
    <row r="204" spans="1:7" hidden="1" x14ac:dyDescent="0.35">
      <c r="A204" t="s">
        <v>172</v>
      </c>
      <c r="B204" t="s">
        <v>173</v>
      </c>
      <c r="C204" t="s">
        <v>57</v>
      </c>
      <c r="D204" t="s">
        <v>10</v>
      </c>
      <c r="E204" t="s">
        <v>37</v>
      </c>
      <c r="F204" t="s">
        <v>32</v>
      </c>
      <c r="G204">
        <v>14</v>
      </c>
    </row>
    <row r="205" spans="1:7" hidden="1" x14ac:dyDescent="0.35">
      <c r="A205" t="s">
        <v>172</v>
      </c>
      <c r="B205" t="s">
        <v>173</v>
      </c>
      <c r="C205" t="s">
        <v>57</v>
      </c>
      <c r="D205" t="s">
        <v>10</v>
      </c>
      <c r="E205" t="s">
        <v>40</v>
      </c>
      <c r="F205" t="s">
        <v>41</v>
      </c>
      <c r="G205">
        <v>47</v>
      </c>
    </row>
    <row r="206" spans="1:7" hidden="1" x14ac:dyDescent="0.35">
      <c r="A206" t="s">
        <v>172</v>
      </c>
      <c r="B206" t="s">
        <v>173</v>
      </c>
      <c r="C206" t="s">
        <v>57</v>
      </c>
      <c r="D206" t="s">
        <v>10</v>
      </c>
      <c r="E206" t="s">
        <v>42</v>
      </c>
      <c r="F206" t="s">
        <v>43</v>
      </c>
      <c r="G206">
        <v>43</v>
      </c>
    </row>
    <row r="207" spans="1:7" hidden="1" x14ac:dyDescent="0.35">
      <c r="A207" t="s">
        <v>172</v>
      </c>
      <c r="B207" t="s">
        <v>173</v>
      </c>
      <c r="C207" t="s">
        <v>57</v>
      </c>
      <c r="D207" t="s">
        <v>10</v>
      </c>
      <c r="E207" t="s">
        <v>17</v>
      </c>
      <c r="F207" t="s">
        <v>18</v>
      </c>
      <c r="G207">
        <v>40</v>
      </c>
    </row>
    <row r="208" spans="1:7" hidden="1" x14ac:dyDescent="0.35">
      <c r="A208" t="s">
        <v>172</v>
      </c>
      <c r="B208" t="s">
        <v>173</v>
      </c>
      <c r="C208" t="s">
        <v>57</v>
      </c>
      <c r="D208" t="s">
        <v>10</v>
      </c>
      <c r="E208" t="s">
        <v>19</v>
      </c>
      <c r="F208" t="s">
        <v>20</v>
      </c>
      <c r="G208">
        <v>46</v>
      </c>
    </row>
    <row r="209" spans="1:7" hidden="1" x14ac:dyDescent="0.35">
      <c r="A209" t="s">
        <v>172</v>
      </c>
      <c r="B209" t="s">
        <v>173</v>
      </c>
      <c r="C209" t="s">
        <v>57</v>
      </c>
      <c r="D209" t="s">
        <v>21</v>
      </c>
      <c r="E209" t="s">
        <v>22</v>
      </c>
      <c r="F209" t="s">
        <v>23</v>
      </c>
      <c r="G209">
        <v>36</v>
      </c>
    </row>
    <row r="210" spans="1:7" hidden="1" x14ac:dyDescent="0.35">
      <c r="A210" t="s">
        <v>172</v>
      </c>
      <c r="B210" t="s">
        <v>173</v>
      </c>
      <c r="C210" t="s">
        <v>57</v>
      </c>
      <c r="D210" t="s">
        <v>21</v>
      </c>
      <c r="E210" t="s">
        <v>46</v>
      </c>
      <c r="F210" t="s">
        <v>47</v>
      </c>
      <c r="G210">
        <v>11</v>
      </c>
    </row>
    <row r="211" spans="1:7" hidden="1" x14ac:dyDescent="0.35">
      <c r="A211" t="s">
        <v>172</v>
      </c>
      <c r="B211" t="s">
        <v>173</v>
      </c>
      <c r="C211" t="s">
        <v>57</v>
      </c>
      <c r="D211" t="s">
        <v>21</v>
      </c>
      <c r="E211" t="s">
        <v>174</v>
      </c>
      <c r="F211" t="s">
        <v>175</v>
      </c>
      <c r="G211">
        <v>1</v>
      </c>
    </row>
    <row r="212" spans="1:7" hidden="1" x14ac:dyDescent="0.35">
      <c r="A212" t="s">
        <v>172</v>
      </c>
      <c r="B212" t="s">
        <v>173</v>
      </c>
      <c r="C212" t="s">
        <v>57</v>
      </c>
      <c r="D212" t="s">
        <v>21</v>
      </c>
      <c r="E212" t="s">
        <v>28</v>
      </c>
      <c r="F212" t="s">
        <v>29</v>
      </c>
      <c r="G212">
        <v>28</v>
      </c>
    </row>
    <row r="213" spans="1:7" hidden="1" x14ac:dyDescent="0.35">
      <c r="A213" t="s">
        <v>172</v>
      </c>
      <c r="B213" t="s">
        <v>173</v>
      </c>
      <c r="C213" t="s">
        <v>57</v>
      </c>
      <c r="D213" t="s">
        <v>30</v>
      </c>
      <c r="E213" t="s">
        <v>176</v>
      </c>
      <c r="F213" t="s">
        <v>177</v>
      </c>
      <c r="G213">
        <v>1</v>
      </c>
    </row>
    <row r="214" spans="1:7" hidden="1" x14ac:dyDescent="0.35">
      <c r="A214" t="s">
        <v>172</v>
      </c>
      <c r="B214" t="s">
        <v>173</v>
      </c>
      <c r="C214" t="s">
        <v>57</v>
      </c>
      <c r="D214" t="s">
        <v>30</v>
      </c>
      <c r="E214" t="s">
        <v>178</v>
      </c>
      <c r="F214" t="s">
        <v>179</v>
      </c>
      <c r="G214">
        <v>1</v>
      </c>
    </row>
    <row r="215" spans="1:7" hidden="1" x14ac:dyDescent="0.35">
      <c r="A215" t="s">
        <v>172</v>
      </c>
      <c r="B215" t="s">
        <v>173</v>
      </c>
      <c r="C215" t="s">
        <v>57</v>
      </c>
      <c r="D215" t="s">
        <v>30</v>
      </c>
      <c r="E215" t="s">
        <v>54</v>
      </c>
      <c r="F215" t="s">
        <v>55</v>
      </c>
      <c r="G215">
        <v>39</v>
      </c>
    </row>
    <row r="216" spans="1:7" hidden="1" x14ac:dyDescent="0.35">
      <c r="A216" t="s">
        <v>180</v>
      </c>
      <c r="B216" t="s">
        <v>173</v>
      </c>
      <c r="C216" t="s">
        <v>57</v>
      </c>
      <c r="D216" t="s">
        <v>10</v>
      </c>
      <c r="E216" t="s">
        <v>40</v>
      </c>
      <c r="F216" t="s">
        <v>41</v>
      </c>
      <c r="G216">
        <v>47</v>
      </c>
    </row>
    <row r="217" spans="1:7" hidden="1" x14ac:dyDescent="0.35">
      <c r="A217" t="s">
        <v>180</v>
      </c>
      <c r="B217" t="s">
        <v>173</v>
      </c>
      <c r="C217" t="s">
        <v>57</v>
      </c>
      <c r="D217" t="s">
        <v>10</v>
      </c>
      <c r="E217" t="s">
        <v>42</v>
      </c>
      <c r="F217" t="s">
        <v>43</v>
      </c>
      <c r="G217">
        <v>43</v>
      </c>
    </row>
    <row r="218" spans="1:7" hidden="1" x14ac:dyDescent="0.35">
      <c r="A218" t="s">
        <v>180</v>
      </c>
      <c r="B218" t="s">
        <v>173</v>
      </c>
      <c r="C218" t="s">
        <v>57</v>
      </c>
      <c r="D218" t="s">
        <v>10</v>
      </c>
      <c r="E218" t="s">
        <v>17</v>
      </c>
      <c r="F218" t="s">
        <v>18</v>
      </c>
      <c r="G218">
        <v>40</v>
      </c>
    </row>
    <row r="219" spans="1:7" hidden="1" x14ac:dyDescent="0.35">
      <c r="A219" t="s">
        <v>180</v>
      </c>
      <c r="B219" t="s">
        <v>173</v>
      </c>
      <c r="C219" t="s">
        <v>57</v>
      </c>
      <c r="D219" t="s">
        <v>10</v>
      </c>
      <c r="E219" t="s">
        <v>19</v>
      </c>
      <c r="F219" t="s">
        <v>20</v>
      </c>
      <c r="G219">
        <v>46</v>
      </c>
    </row>
    <row r="220" spans="1:7" hidden="1" x14ac:dyDescent="0.35">
      <c r="A220" t="s">
        <v>180</v>
      </c>
      <c r="B220" t="s">
        <v>173</v>
      </c>
      <c r="C220" t="s">
        <v>57</v>
      </c>
      <c r="D220" t="s">
        <v>21</v>
      </c>
      <c r="E220" t="s">
        <v>22</v>
      </c>
      <c r="F220" t="s">
        <v>23</v>
      </c>
      <c r="G220">
        <v>36</v>
      </c>
    </row>
    <row r="221" spans="1:7" hidden="1" x14ac:dyDescent="0.35">
      <c r="A221" t="s">
        <v>180</v>
      </c>
      <c r="B221" t="s">
        <v>173</v>
      </c>
      <c r="C221" t="s">
        <v>57</v>
      </c>
      <c r="D221" t="s">
        <v>21</v>
      </c>
      <c r="E221" t="s">
        <v>119</v>
      </c>
      <c r="F221" t="s">
        <v>120</v>
      </c>
      <c r="G221">
        <v>3</v>
      </c>
    </row>
    <row r="222" spans="1:7" hidden="1" x14ac:dyDescent="0.35">
      <c r="A222" t="s">
        <v>180</v>
      </c>
      <c r="B222" t="s">
        <v>173</v>
      </c>
      <c r="C222" t="s">
        <v>57</v>
      </c>
      <c r="D222" t="s">
        <v>21</v>
      </c>
      <c r="E222" t="s">
        <v>113</v>
      </c>
      <c r="F222" t="s">
        <v>114</v>
      </c>
      <c r="G222">
        <v>3</v>
      </c>
    </row>
    <row r="223" spans="1:7" hidden="1" x14ac:dyDescent="0.35">
      <c r="A223" t="s">
        <v>180</v>
      </c>
      <c r="B223" t="s">
        <v>173</v>
      </c>
      <c r="C223" t="s">
        <v>57</v>
      </c>
      <c r="D223" t="s">
        <v>21</v>
      </c>
      <c r="E223" t="s">
        <v>115</v>
      </c>
      <c r="F223" t="s">
        <v>116</v>
      </c>
      <c r="G223">
        <v>3</v>
      </c>
    </row>
    <row r="224" spans="1:7" hidden="1" x14ac:dyDescent="0.35">
      <c r="A224" t="s">
        <v>180</v>
      </c>
      <c r="B224" t="s">
        <v>173</v>
      </c>
      <c r="C224" t="s">
        <v>57</v>
      </c>
      <c r="D224" t="s">
        <v>21</v>
      </c>
      <c r="E224" t="s">
        <v>44</v>
      </c>
      <c r="F224" t="s">
        <v>45</v>
      </c>
      <c r="G224">
        <v>32</v>
      </c>
    </row>
    <row r="225" spans="1:7" hidden="1" x14ac:dyDescent="0.35">
      <c r="A225" t="s">
        <v>180</v>
      </c>
      <c r="B225" t="s">
        <v>173</v>
      </c>
      <c r="C225" t="s">
        <v>57</v>
      </c>
      <c r="D225" t="s">
        <v>21</v>
      </c>
      <c r="E225" t="s">
        <v>108</v>
      </c>
      <c r="F225" t="s">
        <v>109</v>
      </c>
      <c r="G225">
        <v>13</v>
      </c>
    </row>
    <row r="226" spans="1:7" hidden="1" x14ac:dyDescent="0.35">
      <c r="A226" t="s">
        <v>180</v>
      </c>
      <c r="B226" t="s">
        <v>173</v>
      </c>
      <c r="C226" t="s">
        <v>57</v>
      </c>
      <c r="D226" t="s">
        <v>21</v>
      </c>
      <c r="E226" t="s">
        <v>28</v>
      </c>
      <c r="F226" t="s">
        <v>29</v>
      </c>
      <c r="G226">
        <v>28</v>
      </c>
    </row>
    <row r="227" spans="1:7" hidden="1" x14ac:dyDescent="0.35">
      <c r="A227" t="s">
        <v>180</v>
      </c>
      <c r="B227" t="s">
        <v>173</v>
      </c>
      <c r="C227" t="s">
        <v>57</v>
      </c>
      <c r="D227" t="s">
        <v>30</v>
      </c>
      <c r="E227" t="s">
        <v>181</v>
      </c>
      <c r="F227" t="s">
        <v>182</v>
      </c>
      <c r="G227">
        <v>1</v>
      </c>
    </row>
    <row r="228" spans="1:7" hidden="1" x14ac:dyDescent="0.35">
      <c r="A228" t="s">
        <v>180</v>
      </c>
      <c r="B228" t="s">
        <v>173</v>
      </c>
      <c r="C228" t="s">
        <v>57</v>
      </c>
      <c r="D228" t="s">
        <v>30</v>
      </c>
      <c r="E228" t="s">
        <v>123</v>
      </c>
      <c r="F228" t="s">
        <v>124</v>
      </c>
      <c r="G228">
        <v>3</v>
      </c>
    </row>
    <row r="229" spans="1:7" hidden="1" x14ac:dyDescent="0.35">
      <c r="A229" t="s">
        <v>180</v>
      </c>
      <c r="B229" t="s">
        <v>173</v>
      </c>
      <c r="C229" t="s">
        <v>57</v>
      </c>
      <c r="D229" t="s">
        <v>30</v>
      </c>
      <c r="E229" t="s">
        <v>183</v>
      </c>
      <c r="F229" t="s">
        <v>184</v>
      </c>
      <c r="G229">
        <v>1</v>
      </c>
    </row>
    <row r="230" spans="1:7" hidden="1" x14ac:dyDescent="0.35">
      <c r="A230" t="s">
        <v>180</v>
      </c>
      <c r="B230" t="s">
        <v>173</v>
      </c>
      <c r="C230" t="s">
        <v>57</v>
      </c>
      <c r="D230" t="s">
        <v>30</v>
      </c>
      <c r="E230" t="s">
        <v>54</v>
      </c>
      <c r="F230" t="s">
        <v>55</v>
      </c>
      <c r="G230">
        <v>39</v>
      </c>
    </row>
    <row r="231" spans="1:7" hidden="1" x14ac:dyDescent="0.35">
      <c r="A231" t="s">
        <v>185</v>
      </c>
      <c r="B231" t="s">
        <v>186</v>
      </c>
      <c r="C231" t="s">
        <v>57</v>
      </c>
      <c r="D231" t="s">
        <v>10</v>
      </c>
      <c r="E231" t="s">
        <v>37</v>
      </c>
      <c r="F231" t="s">
        <v>32</v>
      </c>
      <c r="G231">
        <v>14</v>
      </c>
    </row>
    <row r="232" spans="1:7" hidden="1" x14ac:dyDescent="0.35">
      <c r="A232" t="s">
        <v>185</v>
      </c>
      <c r="B232" t="s">
        <v>186</v>
      </c>
      <c r="C232" t="s">
        <v>57</v>
      </c>
      <c r="D232" t="s">
        <v>10</v>
      </c>
      <c r="E232" t="s">
        <v>40</v>
      </c>
      <c r="F232" t="s">
        <v>41</v>
      </c>
      <c r="G232">
        <v>47</v>
      </c>
    </row>
    <row r="233" spans="1:7" hidden="1" x14ac:dyDescent="0.35">
      <c r="A233" t="s">
        <v>185</v>
      </c>
      <c r="B233" t="s">
        <v>186</v>
      </c>
      <c r="C233" t="s">
        <v>57</v>
      </c>
      <c r="D233" t="s">
        <v>10</v>
      </c>
      <c r="E233" t="s">
        <v>42</v>
      </c>
      <c r="F233" t="s">
        <v>43</v>
      </c>
      <c r="G233">
        <v>43</v>
      </c>
    </row>
    <row r="234" spans="1:7" hidden="1" x14ac:dyDescent="0.35">
      <c r="A234" t="s">
        <v>185</v>
      </c>
      <c r="B234" t="s">
        <v>186</v>
      </c>
      <c r="C234" t="s">
        <v>57</v>
      </c>
      <c r="D234" t="s">
        <v>10</v>
      </c>
      <c r="E234" t="s">
        <v>17</v>
      </c>
      <c r="F234" t="s">
        <v>18</v>
      </c>
      <c r="G234">
        <v>40</v>
      </c>
    </row>
    <row r="235" spans="1:7" hidden="1" x14ac:dyDescent="0.35">
      <c r="A235" t="s">
        <v>185</v>
      </c>
      <c r="B235" t="s">
        <v>186</v>
      </c>
      <c r="C235" t="s">
        <v>57</v>
      </c>
      <c r="D235" t="s">
        <v>10</v>
      </c>
      <c r="E235" t="s">
        <v>19</v>
      </c>
      <c r="F235" t="s">
        <v>20</v>
      </c>
      <c r="G235">
        <v>46</v>
      </c>
    </row>
    <row r="236" spans="1:7" hidden="1" x14ac:dyDescent="0.35">
      <c r="A236" t="s">
        <v>185</v>
      </c>
      <c r="B236" t="s">
        <v>186</v>
      </c>
      <c r="C236" t="s">
        <v>57</v>
      </c>
      <c r="D236" t="s">
        <v>21</v>
      </c>
      <c r="E236" t="s">
        <v>22</v>
      </c>
      <c r="F236" t="s">
        <v>23</v>
      </c>
      <c r="G236">
        <v>36</v>
      </c>
    </row>
    <row r="237" spans="1:7" hidden="1" x14ac:dyDescent="0.35">
      <c r="A237" t="s">
        <v>185</v>
      </c>
      <c r="B237" t="s">
        <v>186</v>
      </c>
      <c r="C237" t="s">
        <v>57</v>
      </c>
      <c r="D237" t="s">
        <v>21</v>
      </c>
      <c r="E237" t="s">
        <v>187</v>
      </c>
      <c r="F237" t="s">
        <v>188</v>
      </c>
      <c r="G237">
        <v>1</v>
      </c>
    </row>
    <row r="238" spans="1:7" hidden="1" x14ac:dyDescent="0.35">
      <c r="A238" t="s">
        <v>185</v>
      </c>
      <c r="B238" t="s">
        <v>186</v>
      </c>
      <c r="C238" t="s">
        <v>57</v>
      </c>
      <c r="D238" t="s">
        <v>21</v>
      </c>
      <c r="E238" t="s">
        <v>189</v>
      </c>
      <c r="F238" t="s">
        <v>190</v>
      </c>
      <c r="G238">
        <v>3</v>
      </c>
    </row>
    <row r="239" spans="1:7" hidden="1" x14ac:dyDescent="0.35">
      <c r="A239" t="s">
        <v>185</v>
      </c>
      <c r="B239" t="s">
        <v>186</v>
      </c>
      <c r="C239" t="s">
        <v>57</v>
      </c>
      <c r="D239" t="s">
        <v>21</v>
      </c>
      <c r="E239" t="s">
        <v>191</v>
      </c>
      <c r="F239" t="s">
        <v>192</v>
      </c>
      <c r="G239">
        <v>1</v>
      </c>
    </row>
    <row r="240" spans="1:7" hidden="1" x14ac:dyDescent="0.35">
      <c r="A240" t="s">
        <v>185</v>
      </c>
      <c r="B240" t="s">
        <v>186</v>
      </c>
      <c r="C240" t="s">
        <v>57</v>
      </c>
      <c r="D240" t="s">
        <v>21</v>
      </c>
      <c r="E240" t="s">
        <v>193</v>
      </c>
      <c r="F240" t="s">
        <v>194</v>
      </c>
      <c r="G240">
        <v>2</v>
      </c>
    </row>
    <row r="241" spans="1:7" hidden="1" x14ac:dyDescent="0.35">
      <c r="A241" t="s">
        <v>185</v>
      </c>
      <c r="B241" t="s">
        <v>186</v>
      </c>
      <c r="C241" t="s">
        <v>57</v>
      </c>
      <c r="D241" t="s">
        <v>21</v>
      </c>
      <c r="E241" t="s">
        <v>26</v>
      </c>
      <c r="F241" t="s">
        <v>27</v>
      </c>
      <c r="G241">
        <v>21</v>
      </c>
    </row>
    <row r="242" spans="1:7" hidden="1" x14ac:dyDescent="0.35">
      <c r="A242" t="s">
        <v>185</v>
      </c>
      <c r="B242" t="s">
        <v>186</v>
      </c>
      <c r="C242" t="s">
        <v>57</v>
      </c>
      <c r="D242" t="s">
        <v>21</v>
      </c>
      <c r="E242" t="s">
        <v>46</v>
      </c>
      <c r="F242" t="s">
        <v>47</v>
      </c>
      <c r="G242">
        <v>11</v>
      </c>
    </row>
    <row r="243" spans="1:7" hidden="1" x14ac:dyDescent="0.35">
      <c r="A243" t="s">
        <v>185</v>
      </c>
      <c r="B243" t="s">
        <v>186</v>
      </c>
      <c r="C243" t="s">
        <v>57</v>
      </c>
      <c r="D243" t="s">
        <v>21</v>
      </c>
      <c r="E243" t="s">
        <v>28</v>
      </c>
      <c r="F243" t="s">
        <v>29</v>
      </c>
      <c r="G243">
        <v>28</v>
      </c>
    </row>
    <row r="244" spans="1:7" hidden="1" x14ac:dyDescent="0.35">
      <c r="A244" t="s">
        <v>185</v>
      </c>
      <c r="B244" t="s">
        <v>186</v>
      </c>
      <c r="C244" t="s">
        <v>57</v>
      </c>
      <c r="D244" t="s">
        <v>30</v>
      </c>
      <c r="E244" t="s">
        <v>195</v>
      </c>
      <c r="F244" t="s">
        <v>196</v>
      </c>
      <c r="G244">
        <v>1</v>
      </c>
    </row>
    <row r="245" spans="1:7" hidden="1" x14ac:dyDescent="0.35">
      <c r="A245" t="s">
        <v>185</v>
      </c>
      <c r="B245" t="s">
        <v>186</v>
      </c>
      <c r="C245" t="s">
        <v>57</v>
      </c>
      <c r="D245" t="s">
        <v>30</v>
      </c>
      <c r="E245" t="s">
        <v>52</v>
      </c>
      <c r="F245" t="s">
        <v>53</v>
      </c>
      <c r="G245">
        <v>26</v>
      </c>
    </row>
    <row r="246" spans="1:7" hidden="1" x14ac:dyDescent="0.35">
      <c r="A246" t="s">
        <v>185</v>
      </c>
      <c r="B246" t="s">
        <v>186</v>
      </c>
      <c r="C246" t="s">
        <v>57</v>
      </c>
      <c r="D246" t="s">
        <v>30</v>
      </c>
      <c r="E246" t="s">
        <v>54</v>
      </c>
      <c r="F246" t="s">
        <v>55</v>
      </c>
      <c r="G246">
        <v>39</v>
      </c>
    </row>
    <row r="247" spans="1:7" hidden="1" x14ac:dyDescent="0.35">
      <c r="A247" t="s">
        <v>197</v>
      </c>
      <c r="B247" t="s">
        <v>198</v>
      </c>
      <c r="C247" t="s">
        <v>57</v>
      </c>
      <c r="D247" t="s">
        <v>10</v>
      </c>
      <c r="E247" t="s">
        <v>37</v>
      </c>
      <c r="F247" t="s">
        <v>32</v>
      </c>
      <c r="G247">
        <v>14</v>
      </c>
    </row>
    <row r="248" spans="1:7" hidden="1" x14ac:dyDescent="0.35">
      <c r="A248" t="s">
        <v>197</v>
      </c>
      <c r="B248" t="s">
        <v>198</v>
      </c>
      <c r="C248" t="s">
        <v>57</v>
      </c>
      <c r="D248" t="s">
        <v>10</v>
      </c>
      <c r="E248" t="s">
        <v>40</v>
      </c>
      <c r="F248" t="s">
        <v>41</v>
      </c>
      <c r="G248">
        <v>47</v>
      </c>
    </row>
    <row r="249" spans="1:7" hidden="1" x14ac:dyDescent="0.35">
      <c r="A249" t="s">
        <v>197</v>
      </c>
      <c r="B249" t="s">
        <v>198</v>
      </c>
      <c r="C249" t="s">
        <v>57</v>
      </c>
      <c r="D249" t="s">
        <v>10</v>
      </c>
      <c r="E249" t="s">
        <v>42</v>
      </c>
      <c r="F249" t="s">
        <v>43</v>
      </c>
      <c r="G249">
        <v>43</v>
      </c>
    </row>
    <row r="250" spans="1:7" hidden="1" x14ac:dyDescent="0.35">
      <c r="A250" t="s">
        <v>197</v>
      </c>
      <c r="B250" t="s">
        <v>198</v>
      </c>
      <c r="C250" t="s">
        <v>57</v>
      </c>
      <c r="D250" t="s">
        <v>10</v>
      </c>
      <c r="E250" t="s">
        <v>17</v>
      </c>
      <c r="F250" t="s">
        <v>18</v>
      </c>
      <c r="G250">
        <v>40</v>
      </c>
    </row>
    <row r="251" spans="1:7" hidden="1" x14ac:dyDescent="0.35">
      <c r="A251" t="s">
        <v>197</v>
      </c>
      <c r="B251" t="s">
        <v>198</v>
      </c>
      <c r="C251" t="s">
        <v>57</v>
      </c>
      <c r="D251" t="s">
        <v>10</v>
      </c>
      <c r="E251" t="s">
        <v>19</v>
      </c>
      <c r="F251" t="s">
        <v>20</v>
      </c>
      <c r="G251">
        <v>46</v>
      </c>
    </row>
    <row r="252" spans="1:7" hidden="1" x14ac:dyDescent="0.35">
      <c r="A252" t="s">
        <v>197</v>
      </c>
      <c r="B252" t="s">
        <v>198</v>
      </c>
      <c r="C252" t="s">
        <v>57</v>
      </c>
      <c r="D252" t="s">
        <v>21</v>
      </c>
      <c r="E252" t="s">
        <v>22</v>
      </c>
      <c r="F252" t="s">
        <v>23</v>
      </c>
      <c r="G252">
        <v>36</v>
      </c>
    </row>
    <row r="253" spans="1:7" hidden="1" x14ac:dyDescent="0.35">
      <c r="A253" t="s">
        <v>197</v>
      </c>
      <c r="B253" t="s">
        <v>198</v>
      </c>
      <c r="C253" t="s">
        <v>57</v>
      </c>
      <c r="D253" t="s">
        <v>21</v>
      </c>
      <c r="E253" t="s">
        <v>44</v>
      </c>
      <c r="F253" t="s">
        <v>45</v>
      </c>
      <c r="G253">
        <v>32</v>
      </c>
    </row>
    <row r="254" spans="1:7" hidden="1" x14ac:dyDescent="0.35">
      <c r="A254" t="s">
        <v>197</v>
      </c>
      <c r="B254" t="s">
        <v>198</v>
      </c>
      <c r="C254" t="s">
        <v>57</v>
      </c>
      <c r="D254" t="s">
        <v>21</v>
      </c>
      <c r="E254" t="s">
        <v>28</v>
      </c>
      <c r="F254" t="s">
        <v>29</v>
      </c>
      <c r="G254">
        <v>28</v>
      </c>
    </row>
    <row r="255" spans="1:7" hidden="1" x14ac:dyDescent="0.35">
      <c r="A255" t="s">
        <v>197</v>
      </c>
      <c r="B255" t="s">
        <v>198</v>
      </c>
      <c r="C255" t="s">
        <v>57</v>
      </c>
      <c r="D255" t="s">
        <v>30</v>
      </c>
      <c r="E255" t="s">
        <v>199</v>
      </c>
      <c r="F255" t="s">
        <v>200</v>
      </c>
      <c r="G255">
        <v>1</v>
      </c>
    </row>
    <row r="256" spans="1:7" hidden="1" x14ac:dyDescent="0.35">
      <c r="A256" t="s">
        <v>201</v>
      </c>
      <c r="B256" t="s">
        <v>198</v>
      </c>
      <c r="C256" t="s">
        <v>57</v>
      </c>
      <c r="D256" t="s">
        <v>10</v>
      </c>
      <c r="E256" t="s">
        <v>40</v>
      </c>
      <c r="F256" t="s">
        <v>41</v>
      </c>
      <c r="G256">
        <v>47</v>
      </c>
    </row>
    <row r="257" spans="1:7" hidden="1" x14ac:dyDescent="0.35">
      <c r="A257" t="s">
        <v>201</v>
      </c>
      <c r="B257" t="s">
        <v>198</v>
      </c>
      <c r="C257" t="s">
        <v>57</v>
      </c>
      <c r="D257" t="s">
        <v>10</v>
      </c>
      <c r="E257" t="s">
        <v>42</v>
      </c>
      <c r="F257" t="s">
        <v>43</v>
      </c>
      <c r="G257">
        <v>43</v>
      </c>
    </row>
    <row r="258" spans="1:7" hidden="1" x14ac:dyDescent="0.35">
      <c r="A258" t="s">
        <v>201</v>
      </c>
      <c r="B258" t="s">
        <v>198</v>
      </c>
      <c r="C258" t="s">
        <v>57</v>
      </c>
      <c r="D258" t="s">
        <v>10</v>
      </c>
      <c r="E258" t="s">
        <v>15</v>
      </c>
      <c r="F258" t="s">
        <v>16</v>
      </c>
      <c r="G258">
        <v>11</v>
      </c>
    </row>
    <row r="259" spans="1:7" hidden="1" x14ac:dyDescent="0.35">
      <c r="A259" t="s">
        <v>201</v>
      </c>
      <c r="B259" t="s">
        <v>198</v>
      </c>
      <c r="C259" t="s">
        <v>57</v>
      </c>
      <c r="D259" t="s">
        <v>10</v>
      </c>
      <c r="E259" t="s">
        <v>202</v>
      </c>
      <c r="F259" t="s">
        <v>203</v>
      </c>
      <c r="G259">
        <v>4</v>
      </c>
    </row>
    <row r="260" spans="1:7" hidden="1" x14ac:dyDescent="0.35">
      <c r="A260" t="s">
        <v>201</v>
      </c>
      <c r="B260" t="s">
        <v>198</v>
      </c>
      <c r="C260" t="s">
        <v>57</v>
      </c>
      <c r="D260" t="s">
        <v>10</v>
      </c>
      <c r="E260" t="s">
        <v>17</v>
      </c>
      <c r="F260" t="s">
        <v>18</v>
      </c>
      <c r="G260">
        <v>40</v>
      </c>
    </row>
    <row r="261" spans="1:7" hidden="1" x14ac:dyDescent="0.35">
      <c r="A261" t="s">
        <v>201</v>
      </c>
      <c r="B261" t="s">
        <v>198</v>
      </c>
      <c r="C261" t="s">
        <v>57</v>
      </c>
      <c r="D261" t="s">
        <v>10</v>
      </c>
      <c r="E261" t="s">
        <v>19</v>
      </c>
      <c r="F261" t="s">
        <v>20</v>
      </c>
      <c r="G261">
        <v>46</v>
      </c>
    </row>
    <row r="262" spans="1:7" hidden="1" x14ac:dyDescent="0.35">
      <c r="A262" t="s">
        <v>201</v>
      </c>
      <c r="B262" t="s">
        <v>198</v>
      </c>
      <c r="C262" t="s">
        <v>57</v>
      </c>
      <c r="D262" t="s">
        <v>21</v>
      </c>
      <c r="E262" t="s">
        <v>22</v>
      </c>
      <c r="F262" t="s">
        <v>23</v>
      </c>
      <c r="G262">
        <v>36</v>
      </c>
    </row>
    <row r="263" spans="1:7" hidden="1" x14ac:dyDescent="0.35">
      <c r="A263" t="s">
        <v>201</v>
      </c>
      <c r="B263" t="s">
        <v>198</v>
      </c>
      <c r="C263" t="s">
        <v>57</v>
      </c>
      <c r="D263" t="s">
        <v>21</v>
      </c>
      <c r="E263" t="s">
        <v>24</v>
      </c>
      <c r="F263" t="s">
        <v>25</v>
      </c>
      <c r="G263">
        <v>13</v>
      </c>
    </row>
    <row r="264" spans="1:7" hidden="1" x14ac:dyDescent="0.35">
      <c r="A264" t="s">
        <v>201</v>
      </c>
      <c r="B264" t="s">
        <v>198</v>
      </c>
      <c r="C264" t="s">
        <v>57</v>
      </c>
      <c r="D264" t="s">
        <v>21</v>
      </c>
      <c r="E264" t="s">
        <v>44</v>
      </c>
      <c r="F264" t="s">
        <v>45</v>
      </c>
      <c r="G264">
        <v>32</v>
      </c>
    </row>
    <row r="265" spans="1:7" hidden="1" x14ac:dyDescent="0.35">
      <c r="A265" t="s">
        <v>201</v>
      </c>
      <c r="B265" t="s">
        <v>198</v>
      </c>
      <c r="C265" t="s">
        <v>57</v>
      </c>
      <c r="D265" t="s">
        <v>21</v>
      </c>
      <c r="E265" t="s">
        <v>26</v>
      </c>
      <c r="F265" t="s">
        <v>27</v>
      </c>
      <c r="G265">
        <v>21</v>
      </c>
    </row>
    <row r="266" spans="1:7" hidden="1" x14ac:dyDescent="0.35">
      <c r="A266" t="s">
        <v>201</v>
      </c>
      <c r="B266" t="s">
        <v>198</v>
      </c>
      <c r="C266" t="s">
        <v>57</v>
      </c>
      <c r="D266" t="s">
        <v>21</v>
      </c>
      <c r="E266" t="s">
        <v>204</v>
      </c>
      <c r="F266" t="s">
        <v>205</v>
      </c>
      <c r="G266">
        <v>1</v>
      </c>
    </row>
    <row r="267" spans="1:7" hidden="1" x14ac:dyDescent="0.35">
      <c r="A267" t="s">
        <v>201</v>
      </c>
      <c r="B267" t="s">
        <v>198</v>
      </c>
      <c r="C267" t="s">
        <v>57</v>
      </c>
      <c r="D267" t="s">
        <v>21</v>
      </c>
      <c r="E267" t="s">
        <v>28</v>
      </c>
      <c r="F267" t="s">
        <v>29</v>
      </c>
      <c r="G267">
        <v>28</v>
      </c>
    </row>
    <row r="268" spans="1:7" hidden="1" x14ac:dyDescent="0.35">
      <c r="A268" t="s">
        <v>201</v>
      </c>
      <c r="B268" t="s">
        <v>198</v>
      </c>
      <c r="C268" t="s">
        <v>57</v>
      </c>
      <c r="D268" t="s">
        <v>30</v>
      </c>
      <c r="E268" t="s">
        <v>206</v>
      </c>
      <c r="F268" t="s">
        <v>207</v>
      </c>
      <c r="G268">
        <v>1</v>
      </c>
    </row>
    <row r="269" spans="1:7" hidden="1" x14ac:dyDescent="0.35">
      <c r="A269" t="s">
        <v>201</v>
      </c>
      <c r="B269" t="s">
        <v>198</v>
      </c>
      <c r="C269" t="s">
        <v>57</v>
      </c>
      <c r="D269" t="s">
        <v>30</v>
      </c>
      <c r="E269" t="s">
        <v>208</v>
      </c>
      <c r="F269" t="s">
        <v>209</v>
      </c>
      <c r="G269">
        <v>1</v>
      </c>
    </row>
    <row r="270" spans="1:7" hidden="1" x14ac:dyDescent="0.35">
      <c r="A270" t="s">
        <v>201</v>
      </c>
      <c r="B270" t="s">
        <v>198</v>
      </c>
      <c r="C270" t="s">
        <v>57</v>
      </c>
      <c r="D270" t="s">
        <v>30</v>
      </c>
      <c r="E270" t="s">
        <v>54</v>
      </c>
      <c r="F270" t="s">
        <v>55</v>
      </c>
      <c r="G270">
        <v>39</v>
      </c>
    </row>
    <row r="271" spans="1:7" hidden="1" x14ac:dyDescent="0.35">
      <c r="A271" t="s">
        <v>210</v>
      </c>
      <c r="B271" t="s">
        <v>198</v>
      </c>
      <c r="C271" t="s">
        <v>57</v>
      </c>
      <c r="D271" t="s">
        <v>10</v>
      </c>
      <c r="E271" t="s">
        <v>40</v>
      </c>
      <c r="F271" t="s">
        <v>41</v>
      </c>
      <c r="G271">
        <v>47</v>
      </c>
    </row>
    <row r="272" spans="1:7" hidden="1" x14ac:dyDescent="0.35">
      <c r="A272" t="s">
        <v>210</v>
      </c>
      <c r="B272" t="s">
        <v>198</v>
      </c>
      <c r="C272" t="s">
        <v>57</v>
      </c>
      <c r="D272" t="s">
        <v>10</v>
      </c>
      <c r="E272" t="s">
        <v>42</v>
      </c>
      <c r="F272" t="s">
        <v>43</v>
      </c>
      <c r="G272">
        <v>43</v>
      </c>
    </row>
    <row r="273" spans="1:7" hidden="1" x14ac:dyDescent="0.35">
      <c r="A273" t="s">
        <v>210</v>
      </c>
      <c r="B273" t="s">
        <v>198</v>
      </c>
      <c r="C273" t="s">
        <v>57</v>
      </c>
      <c r="D273" t="s">
        <v>10</v>
      </c>
      <c r="E273" t="s">
        <v>17</v>
      </c>
      <c r="F273" t="s">
        <v>18</v>
      </c>
      <c r="G273">
        <v>40</v>
      </c>
    </row>
    <row r="274" spans="1:7" hidden="1" x14ac:dyDescent="0.35">
      <c r="A274" t="s">
        <v>210</v>
      </c>
      <c r="B274" t="s">
        <v>198</v>
      </c>
      <c r="C274" t="s">
        <v>57</v>
      </c>
      <c r="D274" t="s">
        <v>10</v>
      </c>
      <c r="E274" t="s">
        <v>19</v>
      </c>
      <c r="F274" t="s">
        <v>20</v>
      </c>
      <c r="G274">
        <v>46</v>
      </c>
    </row>
    <row r="275" spans="1:7" hidden="1" x14ac:dyDescent="0.35">
      <c r="A275" t="s">
        <v>210</v>
      </c>
      <c r="B275" t="s">
        <v>198</v>
      </c>
      <c r="C275" t="s">
        <v>57</v>
      </c>
      <c r="D275" t="s">
        <v>21</v>
      </c>
      <c r="E275" t="s">
        <v>22</v>
      </c>
      <c r="F275" t="s">
        <v>23</v>
      </c>
      <c r="G275">
        <v>36</v>
      </c>
    </row>
    <row r="276" spans="1:7" hidden="1" x14ac:dyDescent="0.35">
      <c r="A276" t="s">
        <v>210</v>
      </c>
      <c r="B276" t="s">
        <v>198</v>
      </c>
      <c r="C276" t="s">
        <v>57</v>
      </c>
      <c r="D276" t="s">
        <v>21</v>
      </c>
      <c r="E276" t="s">
        <v>24</v>
      </c>
      <c r="F276" t="s">
        <v>25</v>
      </c>
      <c r="G276">
        <v>13</v>
      </c>
    </row>
    <row r="277" spans="1:7" hidden="1" x14ac:dyDescent="0.35">
      <c r="A277" t="s">
        <v>210</v>
      </c>
      <c r="B277" t="s">
        <v>198</v>
      </c>
      <c r="C277" t="s">
        <v>57</v>
      </c>
      <c r="D277" t="s">
        <v>21</v>
      </c>
      <c r="E277" t="s">
        <v>44</v>
      </c>
      <c r="F277" t="s">
        <v>45</v>
      </c>
      <c r="G277">
        <v>32</v>
      </c>
    </row>
    <row r="278" spans="1:7" hidden="1" x14ac:dyDescent="0.35">
      <c r="A278" t="s">
        <v>210</v>
      </c>
      <c r="B278" t="s">
        <v>198</v>
      </c>
      <c r="C278" t="s">
        <v>57</v>
      </c>
      <c r="D278" t="s">
        <v>21</v>
      </c>
      <c r="E278" t="s">
        <v>26</v>
      </c>
      <c r="F278" t="s">
        <v>27</v>
      </c>
      <c r="G278">
        <v>21</v>
      </c>
    </row>
    <row r="279" spans="1:7" hidden="1" x14ac:dyDescent="0.35">
      <c r="A279" t="s">
        <v>210</v>
      </c>
      <c r="B279" t="s">
        <v>198</v>
      </c>
      <c r="C279" t="s">
        <v>57</v>
      </c>
      <c r="D279" t="s">
        <v>21</v>
      </c>
      <c r="E279" t="s">
        <v>211</v>
      </c>
      <c r="F279" t="s">
        <v>212</v>
      </c>
      <c r="G279">
        <v>1</v>
      </c>
    </row>
    <row r="280" spans="1:7" hidden="1" x14ac:dyDescent="0.35">
      <c r="A280" t="s">
        <v>210</v>
      </c>
      <c r="B280" t="s">
        <v>198</v>
      </c>
      <c r="C280" t="s">
        <v>57</v>
      </c>
      <c r="D280" t="s">
        <v>21</v>
      </c>
      <c r="E280" t="s">
        <v>46</v>
      </c>
      <c r="F280" t="s">
        <v>47</v>
      </c>
      <c r="G280">
        <v>11</v>
      </c>
    </row>
    <row r="281" spans="1:7" hidden="1" x14ac:dyDescent="0.35">
      <c r="A281" t="s">
        <v>210</v>
      </c>
      <c r="B281" t="s">
        <v>198</v>
      </c>
      <c r="C281" t="s">
        <v>57</v>
      </c>
      <c r="D281" t="s">
        <v>21</v>
      </c>
      <c r="E281" t="s">
        <v>28</v>
      </c>
      <c r="F281" t="s">
        <v>29</v>
      </c>
      <c r="G281">
        <v>28</v>
      </c>
    </row>
    <row r="282" spans="1:7" hidden="1" x14ac:dyDescent="0.35">
      <c r="A282" t="s">
        <v>210</v>
      </c>
      <c r="B282" t="s">
        <v>198</v>
      </c>
      <c r="C282" t="s">
        <v>57</v>
      </c>
      <c r="D282" t="s">
        <v>30</v>
      </c>
      <c r="E282" t="s">
        <v>54</v>
      </c>
      <c r="F282" t="s">
        <v>55</v>
      </c>
      <c r="G282">
        <v>39</v>
      </c>
    </row>
    <row r="283" spans="1:7" hidden="1" x14ac:dyDescent="0.35">
      <c r="A283" t="s">
        <v>213</v>
      </c>
      <c r="B283" t="s">
        <v>198</v>
      </c>
      <c r="C283" t="s">
        <v>57</v>
      </c>
      <c r="D283" t="s">
        <v>10</v>
      </c>
      <c r="E283" t="s">
        <v>40</v>
      </c>
      <c r="F283" t="s">
        <v>41</v>
      </c>
      <c r="G283">
        <v>47</v>
      </c>
    </row>
    <row r="284" spans="1:7" hidden="1" x14ac:dyDescent="0.35">
      <c r="A284" t="s">
        <v>213</v>
      </c>
      <c r="B284" t="s">
        <v>198</v>
      </c>
      <c r="C284" t="s">
        <v>57</v>
      </c>
      <c r="D284" t="s">
        <v>10</v>
      </c>
      <c r="E284" t="s">
        <v>42</v>
      </c>
      <c r="F284" t="s">
        <v>43</v>
      </c>
      <c r="G284">
        <v>43</v>
      </c>
    </row>
    <row r="285" spans="1:7" hidden="1" x14ac:dyDescent="0.35">
      <c r="A285" t="s">
        <v>213</v>
      </c>
      <c r="B285" t="s">
        <v>198</v>
      </c>
      <c r="C285" t="s">
        <v>57</v>
      </c>
      <c r="D285" t="s">
        <v>10</v>
      </c>
      <c r="E285" t="s">
        <v>17</v>
      </c>
      <c r="F285" t="s">
        <v>18</v>
      </c>
      <c r="G285">
        <v>40</v>
      </c>
    </row>
    <row r="286" spans="1:7" hidden="1" x14ac:dyDescent="0.35">
      <c r="A286" t="s">
        <v>213</v>
      </c>
      <c r="B286" t="s">
        <v>198</v>
      </c>
      <c r="C286" t="s">
        <v>57</v>
      </c>
      <c r="D286" t="s">
        <v>10</v>
      </c>
      <c r="E286" t="s">
        <v>19</v>
      </c>
      <c r="F286" t="s">
        <v>20</v>
      </c>
      <c r="G286">
        <v>46</v>
      </c>
    </row>
    <row r="287" spans="1:7" hidden="1" x14ac:dyDescent="0.35">
      <c r="A287" t="s">
        <v>213</v>
      </c>
      <c r="B287" t="s">
        <v>198</v>
      </c>
      <c r="C287" t="s">
        <v>57</v>
      </c>
      <c r="D287" t="s">
        <v>21</v>
      </c>
      <c r="E287" t="s">
        <v>22</v>
      </c>
      <c r="F287" t="s">
        <v>23</v>
      </c>
      <c r="G287">
        <v>36</v>
      </c>
    </row>
    <row r="288" spans="1:7" hidden="1" x14ac:dyDescent="0.35">
      <c r="A288" t="s">
        <v>213</v>
      </c>
      <c r="B288" t="s">
        <v>198</v>
      </c>
      <c r="C288" t="s">
        <v>57</v>
      </c>
      <c r="D288" t="s">
        <v>21</v>
      </c>
      <c r="E288" t="s">
        <v>24</v>
      </c>
      <c r="F288" t="s">
        <v>25</v>
      </c>
      <c r="G288">
        <v>13</v>
      </c>
    </row>
    <row r="289" spans="1:7" hidden="1" x14ac:dyDescent="0.35">
      <c r="A289" t="s">
        <v>213</v>
      </c>
      <c r="B289" t="s">
        <v>198</v>
      </c>
      <c r="C289" t="s">
        <v>57</v>
      </c>
      <c r="D289" t="s">
        <v>21</v>
      </c>
      <c r="E289" t="s">
        <v>26</v>
      </c>
      <c r="F289" t="s">
        <v>27</v>
      </c>
      <c r="G289">
        <v>21</v>
      </c>
    </row>
    <row r="290" spans="1:7" hidden="1" x14ac:dyDescent="0.35">
      <c r="A290" t="s">
        <v>213</v>
      </c>
      <c r="B290" t="s">
        <v>198</v>
      </c>
      <c r="C290" t="s">
        <v>57</v>
      </c>
      <c r="D290" t="s">
        <v>21</v>
      </c>
      <c r="E290" t="s">
        <v>214</v>
      </c>
      <c r="F290" t="s">
        <v>215</v>
      </c>
      <c r="G290">
        <v>1</v>
      </c>
    </row>
    <row r="291" spans="1:7" hidden="1" x14ac:dyDescent="0.35">
      <c r="A291" t="s">
        <v>213</v>
      </c>
      <c r="B291" t="s">
        <v>198</v>
      </c>
      <c r="C291" t="s">
        <v>57</v>
      </c>
      <c r="D291" t="s">
        <v>21</v>
      </c>
      <c r="E291" t="s">
        <v>44</v>
      </c>
      <c r="F291" t="s">
        <v>45</v>
      </c>
      <c r="G291">
        <v>32</v>
      </c>
    </row>
    <row r="292" spans="1:7" hidden="1" x14ac:dyDescent="0.35">
      <c r="A292" t="s">
        <v>213</v>
      </c>
      <c r="B292" t="s">
        <v>198</v>
      </c>
      <c r="C292" t="s">
        <v>57</v>
      </c>
      <c r="D292" t="s">
        <v>30</v>
      </c>
      <c r="E292" t="s">
        <v>54</v>
      </c>
      <c r="F292" t="s">
        <v>55</v>
      </c>
      <c r="G292">
        <v>39</v>
      </c>
    </row>
    <row r="293" spans="1:7" hidden="1" x14ac:dyDescent="0.35">
      <c r="A293" t="s">
        <v>216</v>
      </c>
      <c r="B293" t="s">
        <v>198</v>
      </c>
      <c r="C293" t="s">
        <v>57</v>
      </c>
      <c r="D293" t="s">
        <v>10</v>
      </c>
      <c r="E293" t="s">
        <v>40</v>
      </c>
      <c r="F293" t="s">
        <v>41</v>
      </c>
      <c r="G293">
        <v>47</v>
      </c>
    </row>
    <row r="294" spans="1:7" hidden="1" x14ac:dyDescent="0.35">
      <c r="A294" t="s">
        <v>216</v>
      </c>
      <c r="B294" t="s">
        <v>198</v>
      </c>
      <c r="C294" t="s">
        <v>57</v>
      </c>
      <c r="D294" t="s">
        <v>10</v>
      </c>
      <c r="E294" t="s">
        <v>42</v>
      </c>
      <c r="F294" t="s">
        <v>43</v>
      </c>
      <c r="G294">
        <v>43</v>
      </c>
    </row>
    <row r="295" spans="1:7" hidden="1" x14ac:dyDescent="0.35">
      <c r="A295" t="s">
        <v>216</v>
      </c>
      <c r="B295" t="s">
        <v>198</v>
      </c>
      <c r="C295" t="s">
        <v>57</v>
      </c>
      <c r="D295" t="s">
        <v>10</v>
      </c>
      <c r="E295" t="s">
        <v>17</v>
      </c>
      <c r="F295" t="s">
        <v>18</v>
      </c>
      <c r="G295">
        <v>40</v>
      </c>
    </row>
    <row r="296" spans="1:7" hidden="1" x14ac:dyDescent="0.35">
      <c r="A296" t="s">
        <v>216</v>
      </c>
      <c r="B296" t="s">
        <v>198</v>
      </c>
      <c r="C296" t="s">
        <v>57</v>
      </c>
      <c r="D296" t="s">
        <v>10</v>
      </c>
      <c r="E296" t="s">
        <v>19</v>
      </c>
      <c r="F296" t="s">
        <v>20</v>
      </c>
      <c r="G296">
        <v>46</v>
      </c>
    </row>
    <row r="297" spans="1:7" hidden="1" x14ac:dyDescent="0.35">
      <c r="A297" t="s">
        <v>216</v>
      </c>
      <c r="B297" t="s">
        <v>198</v>
      </c>
      <c r="C297" t="s">
        <v>57</v>
      </c>
      <c r="D297" t="s">
        <v>21</v>
      </c>
      <c r="E297" t="s">
        <v>22</v>
      </c>
      <c r="F297" t="s">
        <v>23</v>
      </c>
      <c r="G297">
        <v>36</v>
      </c>
    </row>
    <row r="298" spans="1:7" hidden="1" x14ac:dyDescent="0.35">
      <c r="A298" t="s">
        <v>216</v>
      </c>
      <c r="B298" t="s">
        <v>198</v>
      </c>
      <c r="C298" t="s">
        <v>57</v>
      </c>
      <c r="D298" t="s">
        <v>21</v>
      </c>
      <c r="E298" t="s">
        <v>24</v>
      </c>
      <c r="F298" t="s">
        <v>25</v>
      </c>
      <c r="G298">
        <v>13</v>
      </c>
    </row>
    <row r="299" spans="1:7" hidden="1" x14ac:dyDescent="0.35">
      <c r="A299" t="s">
        <v>216</v>
      </c>
      <c r="B299" t="s">
        <v>198</v>
      </c>
      <c r="C299" t="s">
        <v>57</v>
      </c>
      <c r="D299" t="s">
        <v>21</v>
      </c>
      <c r="E299" t="s">
        <v>26</v>
      </c>
      <c r="F299" t="s">
        <v>27</v>
      </c>
      <c r="G299">
        <v>21</v>
      </c>
    </row>
    <row r="300" spans="1:7" hidden="1" x14ac:dyDescent="0.35">
      <c r="A300" t="s">
        <v>216</v>
      </c>
      <c r="B300" t="s">
        <v>198</v>
      </c>
      <c r="C300" t="s">
        <v>57</v>
      </c>
      <c r="D300" t="s">
        <v>21</v>
      </c>
      <c r="E300" t="s">
        <v>217</v>
      </c>
      <c r="F300" t="s">
        <v>218</v>
      </c>
      <c r="G300">
        <v>1</v>
      </c>
    </row>
    <row r="301" spans="1:7" hidden="1" x14ac:dyDescent="0.35">
      <c r="A301" t="s">
        <v>216</v>
      </c>
      <c r="B301" t="s">
        <v>198</v>
      </c>
      <c r="C301" t="s">
        <v>57</v>
      </c>
      <c r="D301" t="s">
        <v>21</v>
      </c>
      <c r="E301" t="s">
        <v>219</v>
      </c>
      <c r="F301" t="s">
        <v>220</v>
      </c>
      <c r="G301">
        <v>1</v>
      </c>
    </row>
    <row r="302" spans="1:7" hidden="1" x14ac:dyDescent="0.35">
      <c r="A302" t="s">
        <v>216</v>
      </c>
      <c r="B302" t="s">
        <v>198</v>
      </c>
      <c r="C302" t="s">
        <v>57</v>
      </c>
      <c r="D302" t="s">
        <v>21</v>
      </c>
      <c r="E302" t="s">
        <v>221</v>
      </c>
      <c r="F302" t="s">
        <v>222</v>
      </c>
      <c r="G302">
        <v>1</v>
      </c>
    </row>
    <row r="303" spans="1:7" hidden="1" x14ac:dyDescent="0.35">
      <c r="A303" t="s">
        <v>216</v>
      </c>
      <c r="B303" t="s">
        <v>198</v>
      </c>
      <c r="C303" t="s">
        <v>57</v>
      </c>
      <c r="D303" t="s">
        <v>21</v>
      </c>
      <c r="E303" t="s">
        <v>223</v>
      </c>
      <c r="F303" t="s">
        <v>224</v>
      </c>
      <c r="G303">
        <v>1</v>
      </c>
    </row>
    <row r="304" spans="1:7" hidden="1" x14ac:dyDescent="0.35">
      <c r="A304" t="s">
        <v>216</v>
      </c>
      <c r="B304" t="s">
        <v>198</v>
      </c>
      <c r="C304" t="s">
        <v>57</v>
      </c>
      <c r="D304" t="s">
        <v>21</v>
      </c>
      <c r="E304" t="s">
        <v>44</v>
      </c>
      <c r="F304" t="s">
        <v>45</v>
      </c>
      <c r="G304">
        <v>32</v>
      </c>
    </row>
    <row r="305" spans="1:7" hidden="1" x14ac:dyDescent="0.35">
      <c r="A305" t="s">
        <v>216</v>
      </c>
      <c r="B305" t="s">
        <v>198</v>
      </c>
      <c r="C305" t="s">
        <v>57</v>
      </c>
      <c r="D305" t="s">
        <v>21</v>
      </c>
      <c r="E305" t="s">
        <v>68</v>
      </c>
      <c r="F305" t="s">
        <v>69</v>
      </c>
      <c r="G305">
        <v>13</v>
      </c>
    </row>
    <row r="306" spans="1:7" hidden="1" x14ac:dyDescent="0.35">
      <c r="A306" t="s">
        <v>216</v>
      </c>
      <c r="B306" t="s">
        <v>198</v>
      </c>
      <c r="C306" t="s">
        <v>57</v>
      </c>
      <c r="D306" t="s">
        <v>30</v>
      </c>
      <c r="E306" t="s">
        <v>50</v>
      </c>
      <c r="F306" t="s">
        <v>51</v>
      </c>
      <c r="G306">
        <v>24</v>
      </c>
    </row>
    <row r="307" spans="1:7" hidden="1" x14ac:dyDescent="0.35">
      <c r="A307" t="s">
        <v>216</v>
      </c>
      <c r="B307" t="s">
        <v>198</v>
      </c>
      <c r="C307" t="s">
        <v>57</v>
      </c>
      <c r="D307" t="s">
        <v>30</v>
      </c>
      <c r="E307" t="s">
        <v>52</v>
      </c>
      <c r="F307" t="s">
        <v>53</v>
      </c>
      <c r="G307">
        <v>26</v>
      </c>
    </row>
    <row r="308" spans="1:7" hidden="1" x14ac:dyDescent="0.35">
      <c r="A308" t="s">
        <v>216</v>
      </c>
      <c r="B308" t="s">
        <v>198</v>
      </c>
      <c r="C308" t="s">
        <v>57</v>
      </c>
      <c r="D308" t="s">
        <v>30</v>
      </c>
      <c r="E308" t="s">
        <v>54</v>
      </c>
      <c r="F308" t="s">
        <v>55</v>
      </c>
      <c r="G308">
        <v>39</v>
      </c>
    </row>
    <row r="309" spans="1:7" hidden="1" x14ac:dyDescent="0.35">
      <c r="A309" t="s">
        <v>225</v>
      </c>
      <c r="B309" t="s">
        <v>226</v>
      </c>
      <c r="C309" t="s">
        <v>57</v>
      </c>
      <c r="D309" t="s">
        <v>10</v>
      </c>
      <c r="E309" t="s">
        <v>37</v>
      </c>
      <c r="F309" t="s">
        <v>32</v>
      </c>
      <c r="G309">
        <v>14</v>
      </c>
    </row>
    <row r="310" spans="1:7" hidden="1" x14ac:dyDescent="0.35">
      <c r="A310" t="s">
        <v>225</v>
      </c>
      <c r="B310" t="s">
        <v>226</v>
      </c>
      <c r="C310" t="s">
        <v>57</v>
      </c>
      <c r="D310" t="s">
        <v>10</v>
      </c>
      <c r="E310" t="s">
        <v>38</v>
      </c>
      <c r="F310" t="s">
        <v>39</v>
      </c>
      <c r="G310">
        <v>5</v>
      </c>
    </row>
    <row r="311" spans="1:7" hidden="1" x14ac:dyDescent="0.35">
      <c r="A311" t="s">
        <v>225</v>
      </c>
      <c r="B311" t="s">
        <v>226</v>
      </c>
      <c r="C311" t="s">
        <v>57</v>
      </c>
      <c r="D311" t="s">
        <v>10</v>
      </c>
      <c r="E311" t="s">
        <v>40</v>
      </c>
      <c r="F311" t="s">
        <v>41</v>
      </c>
      <c r="G311">
        <v>47</v>
      </c>
    </row>
    <row r="312" spans="1:7" hidden="1" x14ac:dyDescent="0.35">
      <c r="A312" t="s">
        <v>225</v>
      </c>
      <c r="B312" t="s">
        <v>226</v>
      </c>
      <c r="C312" t="s">
        <v>57</v>
      </c>
      <c r="D312" t="s">
        <v>10</v>
      </c>
      <c r="E312" t="s">
        <v>42</v>
      </c>
      <c r="F312" t="s">
        <v>43</v>
      </c>
      <c r="G312">
        <v>43</v>
      </c>
    </row>
    <row r="313" spans="1:7" hidden="1" x14ac:dyDescent="0.35">
      <c r="A313" t="s">
        <v>225</v>
      </c>
      <c r="B313" t="s">
        <v>226</v>
      </c>
      <c r="C313" t="s">
        <v>57</v>
      </c>
      <c r="D313" t="s">
        <v>10</v>
      </c>
      <c r="E313" t="s">
        <v>17</v>
      </c>
      <c r="F313" t="s">
        <v>18</v>
      </c>
      <c r="G313">
        <v>40</v>
      </c>
    </row>
    <row r="314" spans="1:7" hidden="1" x14ac:dyDescent="0.35">
      <c r="A314" t="s">
        <v>225</v>
      </c>
      <c r="B314" t="s">
        <v>226</v>
      </c>
      <c r="C314" t="s">
        <v>57</v>
      </c>
      <c r="D314" t="s">
        <v>10</v>
      </c>
      <c r="E314" t="s">
        <v>19</v>
      </c>
      <c r="F314" t="s">
        <v>20</v>
      </c>
      <c r="G314">
        <v>46</v>
      </c>
    </row>
    <row r="315" spans="1:7" hidden="1" x14ac:dyDescent="0.35">
      <c r="A315" t="s">
        <v>225</v>
      </c>
      <c r="B315" t="s">
        <v>226</v>
      </c>
      <c r="C315" t="s">
        <v>57</v>
      </c>
      <c r="D315" t="s">
        <v>21</v>
      </c>
      <c r="E315" t="s">
        <v>22</v>
      </c>
      <c r="F315" t="s">
        <v>23</v>
      </c>
      <c r="G315">
        <v>36</v>
      </c>
    </row>
    <row r="316" spans="1:7" hidden="1" x14ac:dyDescent="0.35">
      <c r="A316" t="s">
        <v>225</v>
      </c>
      <c r="B316" t="s">
        <v>226</v>
      </c>
      <c r="C316" t="s">
        <v>57</v>
      </c>
      <c r="D316" t="s">
        <v>21</v>
      </c>
      <c r="E316" t="s">
        <v>24</v>
      </c>
      <c r="F316" t="s">
        <v>25</v>
      </c>
      <c r="G316">
        <v>13</v>
      </c>
    </row>
    <row r="317" spans="1:7" hidden="1" x14ac:dyDescent="0.35">
      <c r="A317" t="s">
        <v>225</v>
      </c>
      <c r="B317" t="s">
        <v>226</v>
      </c>
      <c r="C317" t="s">
        <v>57</v>
      </c>
      <c r="D317" t="s">
        <v>21</v>
      </c>
      <c r="E317" t="s">
        <v>44</v>
      </c>
      <c r="F317" t="s">
        <v>45</v>
      </c>
      <c r="G317">
        <v>32</v>
      </c>
    </row>
    <row r="318" spans="1:7" hidden="1" x14ac:dyDescent="0.35">
      <c r="A318" t="s">
        <v>225</v>
      </c>
      <c r="B318" t="s">
        <v>226</v>
      </c>
      <c r="C318" t="s">
        <v>57</v>
      </c>
      <c r="D318" t="s">
        <v>21</v>
      </c>
      <c r="E318" t="s">
        <v>227</v>
      </c>
      <c r="F318" t="s">
        <v>228</v>
      </c>
      <c r="G318">
        <v>1</v>
      </c>
    </row>
    <row r="319" spans="1:7" hidden="1" x14ac:dyDescent="0.35">
      <c r="A319" t="s">
        <v>225</v>
      </c>
      <c r="B319" t="s">
        <v>226</v>
      </c>
      <c r="C319" t="s">
        <v>57</v>
      </c>
      <c r="D319" t="s">
        <v>21</v>
      </c>
      <c r="E319" t="s">
        <v>28</v>
      </c>
      <c r="F319" t="s">
        <v>29</v>
      </c>
      <c r="G319">
        <v>28</v>
      </c>
    </row>
    <row r="320" spans="1:7" hidden="1" x14ac:dyDescent="0.35">
      <c r="A320" t="s">
        <v>225</v>
      </c>
      <c r="B320" t="s">
        <v>226</v>
      </c>
      <c r="C320" t="s">
        <v>57</v>
      </c>
      <c r="D320" t="s">
        <v>30</v>
      </c>
      <c r="E320" t="s">
        <v>229</v>
      </c>
      <c r="F320" t="s">
        <v>230</v>
      </c>
      <c r="G320">
        <v>1</v>
      </c>
    </row>
    <row r="321" spans="1:7" hidden="1" x14ac:dyDescent="0.35">
      <c r="A321" t="s">
        <v>225</v>
      </c>
      <c r="B321" t="s">
        <v>226</v>
      </c>
      <c r="C321" t="s">
        <v>57</v>
      </c>
      <c r="D321" t="s">
        <v>30</v>
      </c>
      <c r="E321" t="s">
        <v>231</v>
      </c>
      <c r="F321" t="s">
        <v>232</v>
      </c>
      <c r="G321">
        <v>1</v>
      </c>
    </row>
    <row r="322" spans="1:7" hidden="1" x14ac:dyDescent="0.35">
      <c r="A322" t="s">
        <v>225</v>
      </c>
      <c r="B322" t="s">
        <v>226</v>
      </c>
      <c r="C322" t="s">
        <v>57</v>
      </c>
      <c r="D322" t="s">
        <v>30</v>
      </c>
      <c r="E322" t="s">
        <v>233</v>
      </c>
      <c r="F322" t="s">
        <v>234</v>
      </c>
      <c r="G322">
        <v>1</v>
      </c>
    </row>
    <row r="323" spans="1:7" hidden="1" x14ac:dyDescent="0.35">
      <c r="A323" t="s">
        <v>225</v>
      </c>
      <c r="B323" t="s">
        <v>226</v>
      </c>
      <c r="C323" t="s">
        <v>57</v>
      </c>
      <c r="D323" t="s">
        <v>30</v>
      </c>
      <c r="E323" t="s">
        <v>235</v>
      </c>
      <c r="F323" t="s">
        <v>236</v>
      </c>
      <c r="G323">
        <v>1</v>
      </c>
    </row>
    <row r="324" spans="1:7" hidden="1" x14ac:dyDescent="0.35">
      <c r="A324" t="s">
        <v>225</v>
      </c>
      <c r="B324" t="s">
        <v>226</v>
      </c>
      <c r="C324" t="s">
        <v>57</v>
      </c>
      <c r="D324" t="s">
        <v>30</v>
      </c>
      <c r="E324" t="s">
        <v>237</v>
      </c>
      <c r="F324" t="s">
        <v>238</v>
      </c>
      <c r="G324">
        <v>1</v>
      </c>
    </row>
    <row r="325" spans="1:7" hidden="1" x14ac:dyDescent="0.35">
      <c r="A325" t="s">
        <v>225</v>
      </c>
      <c r="B325" t="s">
        <v>226</v>
      </c>
      <c r="C325" t="s">
        <v>57</v>
      </c>
      <c r="D325" t="s">
        <v>30</v>
      </c>
      <c r="E325" t="s">
        <v>239</v>
      </c>
      <c r="F325" t="s">
        <v>240</v>
      </c>
      <c r="G325">
        <v>1</v>
      </c>
    </row>
    <row r="326" spans="1:7" hidden="1" x14ac:dyDescent="0.35">
      <c r="A326" t="s">
        <v>225</v>
      </c>
      <c r="B326" t="s">
        <v>226</v>
      </c>
      <c r="C326" t="s">
        <v>57</v>
      </c>
      <c r="D326" t="s">
        <v>30</v>
      </c>
      <c r="E326" t="s">
        <v>241</v>
      </c>
      <c r="F326" t="s">
        <v>242</v>
      </c>
      <c r="G326">
        <v>1</v>
      </c>
    </row>
    <row r="327" spans="1:7" hidden="1" x14ac:dyDescent="0.35">
      <c r="A327" t="s">
        <v>225</v>
      </c>
      <c r="B327" t="s">
        <v>226</v>
      </c>
      <c r="C327" t="s">
        <v>57</v>
      </c>
      <c r="D327" t="s">
        <v>30</v>
      </c>
      <c r="E327" t="s">
        <v>50</v>
      </c>
      <c r="F327" t="s">
        <v>51</v>
      </c>
      <c r="G327">
        <v>24</v>
      </c>
    </row>
    <row r="328" spans="1:7" hidden="1" x14ac:dyDescent="0.35">
      <c r="A328" t="s">
        <v>225</v>
      </c>
      <c r="B328" t="s">
        <v>226</v>
      </c>
      <c r="C328" t="s">
        <v>57</v>
      </c>
      <c r="D328" t="s">
        <v>30</v>
      </c>
      <c r="E328" t="s">
        <v>54</v>
      </c>
      <c r="F328" t="s">
        <v>55</v>
      </c>
      <c r="G328">
        <v>39</v>
      </c>
    </row>
    <row r="329" spans="1:7" hidden="1" x14ac:dyDescent="0.35">
      <c r="A329" t="s">
        <v>225</v>
      </c>
      <c r="B329" t="s">
        <v>226</v>
      </c>
      <c r="C329" t="s">
        <v>57</v>
      </c>
      <c r="D329" t="s">
        <v>30</v>
      </c>
      <c r="E329" t="s">
        <v>243</v>
      </c>
      <c r="F329" t="s">
        <v>244</v>
      </c>
      <c r="G329">
        <v>10</v>
      </c>
    </row>
    <row r="330" spans="1:7" hidden="1" x14ac:dyDescent="0.35">
      <c r="A330" t="s">
        <v>245</v>
      </c>
      <c r="B330" t="s">
        <v>36</v>
      </c>
      <c r="C330" t="s">
        <v>57</v>
      </c>
      <c r="D330" t="s">
        <v>10</v>
      </c>
      <c r="E330" t="s">
        <v>37</v>
      </c>
      <c r="F330" t="s">
        <v>32</v>
      </c>
      <c r="G330">
        <v>14</v>
      </c>
    </row>
    <row r="331" spans="1:7" hidden="1" x14ac:dyDescent="0.35">
      <c r="A331" t="s">
        <v>245</v>
      </c>
      <c r="B331" t="s">
        <v>36</v>
      </c>
      <c r="C331" t="s">
        <v>57</v>
      </c>
      <c r="D331" t="s">
        <v>10</v>
      </c>
      <c r="E331" t="s">
        <v>40</v>
      </c>
      <c r="F331" t="s">
        <v>41</v>
      </c>
      <c r="G331">
        <v>47</v>
      </c>
    </row>
    <row r="332" spans="1:7" hidden="1" x14ac:dyDescent="0.35">
      <c r="A332" t="s">
        <v>245</v>
      </c>
      <c r="B332" t="s">
        <v>36</v>
      </c>
      <c r="C332" t="s">
        <v>57</v>
      </c>
      <c r="D332" t="s">
        <v>10</v>
      </c>
      <c r="E332" t="s">
        <v>42</v>
      </c>
      <c r="F332" t="s">
        <v>43</v>
      </c>
      <c r="G332">
        <v>43</v>
      </c>
    </row>
    <row r="333" spans="1:7" hidden="1" x14ac:dyDescent="0.35">
      <c r="A333" t="s">
        <v>245</v>
      </c>
      <c r="B333" t="s">
        <v>36</v>
      </c>
      <c r="C333" t="s">
        <v>57</v>
      </c>
      <c r="D333" t="s">
        <v>10</v>
      </c>
      <c r="E333" t="s">
        <v>15</v>
      </c>
      <c r="F333" t="s">
        <v>16</v>
      </c>
      <c r="G333">
        <v>11</v>
      </c>
    </row>
    <row r="334" spans="1:7" hidden="1" x14ac:dyDescent="0.35">
      <c r="A334" t="s">
        <v>245</v>
      </c>
      <c r="B334" t="s">
        <v>36</v>
      </c>
      <c r="C334" t="s">
        <v>57</v>
      </c>
      <c r="D334" t="s">
        <v>10</v>
      </c>
      <c r="E334" t="s">
        <v>17</v>
      </c>
      <c r="F334" t="s">
        <v>18</v>
      </c>
      <c r="G334">
        <v>40</v>
      </c>
    </row>
    <row r="335" spans="1:7" hidden="1" x14ac:dyDescent="0.35">
      <c r="A335" t="s">
        <v>245</v>
      </c>
      <c r="B335" t="s">
        <v>36</v>
      </c>
      <c r="C335" t="s">
        <v>57</v>
      </c>
      <c r="D335" t="s">
        <v>10</v>
      </c>
      <c r="E335" t="s">
        <v>19</v>
      </c>
      <c r="F335" t="s">
        <v>20</v>
      </c>
      <c r="G335">
        <v>46</v>
      </c>
    </row>
    <row r="336" spans="1:7" hidden="1" x14ac:dyDescent="0.35">
      <c r="A336" t="s">
        <v>245</v>
      </c>
      <c r="B336" t="s">
        <v>36</v>
      </c>
      <c r="C336" t="s">
        <v>57</v>
      </c>
      <c r="D336" t="s">
        <v>21</v>
      </c>
      <c r="E336" t="s">
        <v>22</v>
      </c>
      <c r="F336" t="s">
        <v>23</v>
      </c>
      <c r="G336">
        <v>36</v>
      </c>
    </row>
    <row r="337" spans="1:7" hidden="1" x14ac:dyDescent="0.35">
      <c r="A337" t="s">
        <v>245</v>
      </c>
      <c r="B337" t="s">
        <v>36</v>
      </c>
      <c r="C337" t="s">
        <v>57</v>
      </c>
      <c r="D337" t="s">
        <v>21</v>
      </c>
      <c r="E337" t="s">
        <v>24</v>
      </c>
      <c r="F337" t="s">
        <v>25</v>
      </c>
      <c r="G337">
        <v>13</v>
      </c>
    </row>
    <row r="338" spans="1:7" hidden="1" x14ac:dyDescent="0.35">
      <c r="A338" t="s">
        <v>245</v>
      </c>
      <c r="B338" t="s">
        <v>36</v>
      </c>
      <c r="C338" t="s">
        <v>57</v>
      </c>
      <c r="D338" t="s">
        <v>21</v>
      </c>
      <c r="E338" t="s">
        <v>44</v>
      </c>
      <c r="F338" t="s">
        <v>45</v>
      </c>
      <c r="G338">
        <v>32</v>
      </c>
    </row>
    <row r="339" spans="1:7" hidden="1" x14ac:dyDescent="0.35">
      <c r="A339" t="s">
        <v>245</v>
      </c>
      <c r="B339" t="s">
        <v>36</v>
      </c>
      <c r="C339" t="s">
        <v>57</v>
      </c>
      <c r="D339" t="s">
        <v>21</v>
      </c>
      <c r="E339" t="s">
        <v>68</v>
      </c>
      <c r="F339" t="s">
        <v>69</v>
      </c>
      <c r="G339">
        <v>13</v>
      </c>
    </row>
    <row r="340" spans="1:7" hidden="1" x14ac:dyDescent="0.35">
      <c r="A340" t="s">
        <v>245</v>
      </c>
      <c r="B340" t="s">
        <v>36</v>
      </c>
      <c r="C340" t="s">
        <v>57</v>
      </c>
      <c r="D340" t="s">
        <v>21</v>
      </c>
      <c r="E340" t="s">
        <v>46</v>
      </c>
      <c r="F340" t="s">
        <v>47</v>
      </c>
      <c r="G340">
        <v>11</v>
      </c>
    </row>
    <row r="341" spans="1:7" hidden="1" x14ac:dyDescent="0.35">
      <c r="A341" t="s">
        <v>245</v>
      </c>
      <c r="B341" t="s">
        <v>36</v>
      </c>
      <c r="C341" t="s">
        <v>57</v>
      </c>
      <c r="D341" t="s">
        <v>21</v>
      </c>
      <c r="E341" t="s">
        <v>28</v>
      </c>
      <c r="F341" t="s">
        <v>29</v>
      </c>
      <c r="G341">
        <v>28</v>
      </c>
    </row>
    <row r="342" spans="1:7" hidden="1" x14ac:dyDescent="0.35">
      <c r="A342" t="s">
        <v>245</v>
      </c>
      <c r="B342" t="s">
        <v>36</v>
      </c>
      <c r="C342" t="s">
        <v>57</v>
      </c>
      <c r="D342" t="s">
        <v>30</v>
      </c>
      <c r="E342" t="s">
        <v>246</v>
      </c>
      <c r="F342" t="s">
        <v>247</v>
      </c>
      <c r="G342">
        <v>1</v>
      </c>
    </row>
    <row r="343" spans="1:7" hidden="1" x14ac:dyDescent="0.35">
      <c r="A343" t="s">
        <v>248</v>
      </c>
      <c r="B343" t="s">
        <v>8</v>
      </c>
      <c r="C343" t="s">
        <v>249</v>
      </c>
      <c r="D343" t="s">
        <v>10</v>
      </c>
      <c r="E343" t="s">
        <v>40</v>
      </c>
      <c r="F343" t="s">
        <v>41</v>
      </c>
      <c r="G343">
        <v>47</v>
      </c>
    </row>
    <row r="344" spans="1:7" hidden="1" x14ac:dyDescent="0.35">
      <c r="A344" t="s">
        <v>248</v>
      </c>
      <c r="B344" t="s">
        <v>8</v>
      </c>
      <c r="C344" t="s">
        <v>249</v>
      </c>
      <c r="D344" t="s">
        <v>10</v>
      </c>
      <c r="E344" t="s">
        <v>42</v>
      </c>
      <c r="F344" t="s">
        <v>43</v>
      </c>
      <c r="G344">
        <v>43</v>
      </c>
    </row>
    <row r="345" spans="1:7" hidden="1" x14ac:dyDescent="0.35">
      <c r="A345" t="s">
        <v>248</v>
      </c>
      <c r="B345" t="s">
        <v>8</v>
      </c>
      <c r="C345" t="s">
        <v>249</v>
      </c>
      <c r="D345" t="s">
        <v>10</v>
      </c>
      <c r="E345" t="s">
        <v>250</v>
      </c>
      <c r="F345" t="s">
        <v>251</v>
      </c>
      <c r="G345">
        <v>3</v>
      </c>
    </row>
    <row r="346" spans="1:7" hidden="1" x14ac:dyDescent="0.35">
      <c r="A346" t="s">
        <v>248</v>
      </c>
      <c r="B346" t="s">
        <v>8</v>
      </c>
      <c r="C346" t="s">
        <v>249</v>
      </c>
      <c r="D346" t="s">
        <v>10</v>
      </c>
      <c r="E346" t="s">
        <v>17</v>
      </c>
      <c r="F346" t="s">
        <v>18</v>
      </c>
      <c r="G346">
        <v>40</v>
      </c>
    </row>
    <row r="347" spans="1:7" hidden="1" x14ac:dyDescent="0.35">
      <c r="A347" t="s">
        <v>248</v>
      </c>
      <c r="B347" t="s">
        <v>8</v>
      </c>
      <c r="C347" t="s">
        <v>249</v>
      </c>
      <c r="D347" t="s">
        <v>10</v>
      </c>
      <c r="E347" t="s">
        <v>19</v>
      </c>
      <c r="F347" t="s">
        <v>20</v>
      </c>
      <c r="G347">
        <v>46</v>
      </c>
    </row>
    <row r="348" spans="1:7" hidden="1" x14ac:dyDescent="0.35">
      <c r="A348" t="s">
        <v>248</v>
      </c>
      <c r="B348" t="s">
        <v>8</v>
      </c>
      <c r="C348" t="s">
        <v>249</v>
      </c>
      <c r="D348" t="s">
        <v>21</v>
      </c>
      <c r="E348" t="s">
        <v>22</v>
      </c>
      <c r="F348" t="s">
        <v>23</v>
      </c>
      <c r="G348">
        <v>36</v>
      </c>
    </row>
    <row r="349" spans="1:7" hidden="1" x14ac:dyDescent="0.35">
      <c r="A349" t="s">
        <v>248</v>
      </c>
      <c r="B349" t="s">
        <v>8</v>
      </c>
      <c r="C349" t="s">
        <v>249</v>
      </c>
      <c r="D349" t="s">
        <v>21</v>
      </c>
      <c r="E349" t="s">
        <v>108</v>
      </c>
      <c r="F349" t="s">
        <v>109</v>
      </c>
      <c r="G349">
        <v>13</v>
      </c>
    </row>
    <row r="350" spans="1:7" hidden="1" x14ac:dyDescent="0.35">
      <c r="A350" t="s">
        <v>248</v>
      </c>
      <c r="B350" t="s">
        <v>8</v>
      </c>
      <c r="C350" t="s">
        <v>249</v>
      </c>
      <c r="D350" t="s">
        <v>21</v>
      </c>
      <c r="E350" t="s">
        <v>28</v>
      </c>
      <c r="F350" t="s">
        <v>29</v>
      </c>
      <c r="G350">
        <v>28</v>
      </c>
    </row>
    <row r="351" spans="1:7" hidden="1" x14ac:dyDescent="0.35">
      <c r="A351" t="s">
        <v>248</v>
      </c>
      <c r="B351" t="s">
        <v>8</v>
      </c>
      <c r="C351" t="s">
        <v>249</v>
      </c>
      <c r="D351" t="s">
        <v>30</v>
      </c>
      <c r="E351" t="s">
        <v>252</v>
      </c>
      <c r="F351" t="s">
        <v>253</v>
      </c>
      <c r="G351">
        <v>1</v>
      </c>
    </row>
    <row r="352" spans="1:7" hidden="1" x14ac:dyDescent="0.35">
      <c r="A352" t="s">
        <v>248</v>
      </c>
      <c r="B352" t="s">
        <v>8</v>
      </c>
      <c r="C352" t="s">
        <v>249</v>
      </c>
      <c r="D352" t="s">
        <v>30</v>
      </c>
      <c r="E352" t="s">
        <v>254</v>
      </c>
      <c r="F352" t="s">
        <v>255</v>
      </c>
      <c r="G352">
        <v>1</v>
      </c>
    </row>
    <row r="353" spans="1:7" hidden="1" x14ac:dyDescent="0.35">
      <c r="A353" t="s">
        <v>248</v>
      </c>
      <c r="B353" t="s">
        <v>8</v>
      </c>
      <c r="C353" t="s">
        <v>249</v>
      </c>
      <c r="D353" t="s">
        <v>30</v>
      </c>
      <c r="E353" t="s">
        <v>256</v>
      </c>
      <c r="F353" t="s">
        <v>257</v>
      </c>
      <c r="G353">
        <v>1</v>
      </c>
    </row>
    <row r="354" spans="1:7" hidden="1" x14ac:dyDescent="0.35">
      <c r="A354" t="s">
        <v>248</v>
      </c>
      <c r="B354" t="s">
        <v>8</v>
      </c>
      <c r="C354" t="s">
        <v>249</v>
      </c>
      <c r="D354" t="s">
        <v>30</v>
      </c>
      <c r="E354" t="s">
        <v>50</v>
      </c>
      <c r="F354" t="s">
        <v>51</v>
      </c>
      <c r="G354">
        <v>24</v>
      </c>
    </row>
    <row r="355" spans="1:7" hidden="1" x14ac:dyDescent="0.35">
      <c r="A355" t="s">
        <v>248</v>
      </c>
      <c r="B355" t="s">
        <v>8</v>
      </c>
      <c r="C355" t="s">
        <v>249</v>
      </c>
      <c r="D355" t="s">
        <v>30</v>
      </c>
      <c r="E355" t="s">
        <v>52</v>
      </c>
      <c r="F355" t="s">
        <v>53</v>
      </c>
      <c r="G355">
        <v>26</v>
      </c>
    </row>
    <row r="356" spans="1:7" hidden="1" x14ac:dyDescent="0.35">
      <c r="A356" t="s">
        <v>248</v>
      </c>
      <c r="B356" t="s">
        <v>8</v>
      </c>
      <c r="C356" t="s">
        <v>249</v>
      </c>
      <c r="D356" t="s">
        <v>30</v>
      </c>
      <c r="E356" t="s">
        <v>54</v>
      </c>
      <c r="F356" t="s">
        <v>55</v>
      </c>
      <c r="G356">
        <v>39</v>
      </c>
    </row>
    <row r="357" spans="1:7" hidden="1" x14ac:dyDescent="0.35">
      <c r="A357" t="s">
        <v>248</v>
      </c>
      <c r="B357" t="s">
        <v>8</v>
      </c>
      <c r="C357" t="s">
        <v>249</v>
      </c>
      <c r="D357" t="s">
        <v>30</v>
      </c>
      <c r="E357" t="s">
        <v>243</v>
      </c>
      <c r="F357" t="s">
        <v>244</v>
      </c>
      <c r="G357">
        <v>10</v>
      </c>
    </row>
    <row r="358" spans="1:7" hidden="1" x14ac:dyDescent="0.35">
      <c r="A358" t="s">
        <v>258</v>
      </c>
      <c r="B358" t="s">
        <v>8</v>
      </c>
      <c r="C358" t="s">
        <v>249</v>
      </c>
      <c r="D358" t="s">
        <v>10</v>
      </c>
      <c r="E358" t="s">
        <v>40</v>
      </c>
      <c r="F358" t="s">
        <v>41</v>
      </c>
      <c r="G358">
        <v>47</v>
      </c>
    </row>
    <row r="359" spans="1:7" hidden="1" x14ac:dyDescent="0.35">
      <c r="A359" t="s">
        <v>258</v>
      </c>
      <c r="B359" t="s">
        <v>8</v>
      </c>
      <c r="C359" t="s">
        <v>249</v>
      </c>
      <c r="D359" t="s">
        <v>10</v>
      </c>
      <c r="E359" t="s">
        <v>42</v>
      </c>
      <c r="F359" t="s">
        <v>43</v>
      </c>
      <c r="G359">
        <v>43</v>
      </c>
    </row>
    <row r="360" spans="1:7" hidden="1" x14ac:dyDescent="0.35">
      <c r="A360" t="s">
        <v>258</v>
      </c>
      <c r="B360" t="s">
        <v>8</v>
      </c>
      <c r="C360" t="s">
        <v>249</v>
      </c>
      <c r="D360" t="s">
        <v>10</v>
      </c>
      <c r="E360" t="s">
        <v>259</v>
      </c>
      <c r="F360" t="s">
        <v>253</v>
      </c>
      <c r="G360">
        <v>2</v>
      </c>
    </row>
    <row r="361" spans="1:7" hidden="1" x14ac:dyDescent="0.35">
      <c r="A361" t="s">
        <v>258</v>
      </c>
      <c r="B361" t="s">
        <v>8</v>
      </c>
      <c r="C361" t="s">
        <v>249</v>
      </c>
      <c r="D361" t="s">
        <v>10</v>
      </c>
      <c r="E361" t="s">
        <v>17</v>
      </c>
      <c r="F361" t="s">
        <v>18</v>
      </c>
      <c r="G361">
        <v>40</v>
      </c>
    </row>
    <row r="362" spans="1:7" hidden="1" x14ac:dyDescent="0.35">
      <c r="A362" t="s">
        <v>258</v>
      </c>
      <c r="B362" t="s">
        <v>8</v>
      </c>
      <c r="C362" t="s">
        <v>249</v>
      </c>
      <c r="D362" t="s">
        <v>10</v>
      </c>
      <c r="E362" t="s">
        <v>19</v>
      </c>
      <c r="F362" t="s">
        <v>20</v>
      </c>
      <c r="G362">
        <v>46</v>
      </c>
    </row>
    <row r="363" spans="1:7" hidden="1" x14ac:dyDescent="0.35">
      <c r="A363" t="s">
        <v>258</v>
      </c>
      <c r="B363" t="s">
        <v>8</v>
      </c>
      <c r="C363" t="s">
        <v>249</v>
      </c>
      <c r="D363" t="s">
        <v>21</v>
      </c>
      <c r="E363" t="s">
        <v>22</v>
      </c>
      <c r="F363" t="s">
        <v>23</v>
      </c>
      <c r="G363">
        <v>36</v>
      </c>
    </row>
    <row r="364" spans="1:7" hidden="1" x14ac:dyDescent="0.35">
      <c r="A364" t="s">
        <v>258</v>
      </c>
      <c r="B364" t="s">
        <v>8</v>
      </c>
      <c r="C364" t="s">
        <v>249</v>
      </c>
      <c r="D364" t="s">
        <v>21</v>
      </c>
      <c r="E364" t="s">
        <v>260</v>
      </c>
      <c r="F364" t="s">
        <v>261</v>
      </c>
      <c r="G364">
        <v>1</v>
      </c>
    </row>
    <row r="365" spans="1:7" hidden="1" x14ac:dyDescent="0.35">
      <c r="A365" t="s">
        <v>258</v>
      </c>
      <c r="B365" t="s">
        <v>8</v>
      </c>
      <c r="C365" t="s">
        <v>249</v>
      </c>
      <c r="D365" t="s">
        <v>21</v>
      </c>
      <c r="E365" t="s">
        <v>262</v>
      </c>
      <c r="F365" t="s">
        <v>263</v>
      </c>
      <c r="G365">
        <v>1</v>
      </c>
    </row>
    <row r="366" spans="1:7" hidden="1" x14ac:dyDescent="0.35">
      <c r="A366" t="s">
        <v>258</v>
      </c>
      <c r="B366" t="s">
        <v>8</v>
      </c>
      <c r="C366" t="s">
        <v>249</v>
      </c>
      <c r="D366" t="s">
        <v>21</v>
      </c>
      <c r="E366" t="s">
        <v>26</v>
      </c>
      <c r="F366" t="s">
        <v>27</v>
      </c>
      <c r="G366">
        <v>21</v>
      </c>
    </row>
    <row r="367" spans="1:7" hidden="1" x14ac:dyDescent="0.35">
      <c r="A367" t="s">
        <v>258</v>
      </c>
      <c r="B367" t="s">
        <v>8</v>
      </c>
      <c r="C367" t="s">
        <v>249</v>
      </c>
      <c r="D367" t="s">
        <v>30</v>
      </c>
      <c r="E367" t="s">
        <v>264</v>
      </c>
      <c r="F367" t="s">
        <v>265</v>
      </c>
      <c r="G367">
        <v>1</v>
      </c>
    </row>
    <row r="368" spans="1:7" hidden="1" x14ac:dyDescent="0.35">
      <c r="A368" t="s">
        <v>258</v>
      </c>
      <c r="B368" t="s">
        <v>8</v>
      </c>
      <c r="C368" t="s">
        <v>249</v>
      </c>
      <c r="D368" t="s">
        <v>30</v>
      </c>
      <c r="E368" t="s">
        <v>52</v>
      </c>
      <c r="F368" t="s">
        <v>53</v>
      </c>
      <c r="G368">
        <v>26</v>
      </c>
    </row>
    <row r="369" spans="1:7" hidden="1" x14ac:dyDescent="0.35">
      <c r="A369" t="s">
        <v>258</v>
      </c>
      <c r="B369" t="s">
        <v>8</v>
      </c>
      <c r="C369" t="s">
        <v>249</v>
      </c>
      <c r="D369" t="s">
        <v>30</v>
      </c>
      <c r="E369" t="s">
        <v>243</v>
      </c>
      <c r="F369" t="s">
        <v>244</v>
      </c>
      <c r="G369">
        <v>10</v>
      </c>
    </row>
    <row r="370" spans="1:7" hidden="1" x14ac:dyDescent="0.35">
      <c r="A370" t="s">
        <v>266</v>
      </c>
      <c r="B370" t="s">
        <v>165</v>
      </c>
      <c r="C370" t="s">
        <v>249</v>
      </c>
      <c r="D370" t="s">
        <v>10</v>
      </c>
      <c r="E370" t="s">
        <v>40</v>
      </c>
      <c r="F370" t="s">
        <v>41</v>
      </c>
      <c r="G370">
        <v>47</v>
      </c>
    </row>
    <row r="371" spans="1:7" hidden="1" x14ac:dyDescent="0.35">
      <c r="A371" t="s">
        <v>266</v>
      </c>
      <c r="B371" t="s">
        <v>165</v>
      </c>
      <c r="C371" t="s">
        <v>249</v>
      </c>
      <c r="D371" t="s">
        <v>10</v>
      </c>
      <c r="E371" t="s">
        <v>42</v>
      </c>
      <c r="F371" t="s">
        <v>43</v>
      </c>
      <c r="G371">
        <v>43</v>
      </c>
    </row>
    <row r="372" spans="1:7" hidden="1" x14ac:dyDescent="0.35">
      <c r="A372" t="s">
        <v>266</v>
      </c>
      <c r="B372" t="s">
        <v>165</v>
      </c>
      <c r="C372" t="s">
        <v>249</v>
      </c>
      <c r="D372" t="s">
        <v>10</v>
      </c>
      <c r="E372" t="s">
        <v>19</v>
      </c>
      <c r="F372" t="s">
        <v>20</v>
      </c>
      <c r="G372">
        <v>46</v>
      </c>
    </row>
    <row r="373" spans="1:7" hidden="1" x14ac:dyDescent="0.35">
      <c r="A373" t="s">
        <v>266</v>
      </c>
      <c r="B373" t="s">
        <v>165</v>
      </c>
      <c r="C373" t="s">
        <v>249</v>
      </c>
      <c r="D373" t="s">
        <v>21</v>
      </c>
      <c r="E373" t="s">
        <v>24</v>
      </c>
      <c r="F373" t="s">
        <v>25</v>
      </c>
      <c r="G373">
        <v>13</v>
      </c>
    </row>
    <row r="374" spans="1:7" hidden="1" x14ac:dyDescent="0.35">
      <c r="A374" t="s">
        <v>266</v>
      </c>
      <c r="B374" t="s">
        <v>165</v>
      </c>
      <c r="C374" t="s">
        <v>249</v>
      </c>
      <c r="D374" t="s">
        <v>21</v>
      </c>
      <c r="E374" t="s">
        <v>44</v>
      </c>
      <c r="F374" t="s">
        <v>45</v>
      </c>
      <c r="G374">
        <v>32</v>
      </c>
    </row>
    <row r="375" spans="1:7" hidden="1" x14ac:dyDescent="0.35">
      <c r="A375" t="s">
        <v>266</v>
      </c>
      <c r="B375" t="s">
        <v>165</v>
      </c>
      <c r="C375" t="s">
        <v>249</v>
      </c>
      <c r="D375" t="s">
        <v>21</v>
      </c>
      <c r="E375" t="s">
        <v>68</v>
      </c>
      <c r="F375" t="s">
        <v>69</v>
      </c>
      <c r="G375">
        <v>13</v>
      </c>
    </row>
    <row r="376" spans="1:7" hidden="1" x14ac:dyDescent="0.35">
      <c r="A376" t="s">
        <v>266</v>
      </c>
      <c r="B376" t="s">
        <v>165</v>
      </c>
      <c r="C376" t="s">
        <v>249</v>
      </c>
      <c r="D376" t="s">
        <v>21</v>
      </c>
      <c r="E376" t="s">
        <v>46</v>
      </c>
      <c r="F376" t="s">
        <v>47</v>
      </c>
      <c r="G376">
        <v>11</v>
      </c>
    </row>
    <row r="377" spans="1:7" hidden="1" x14ac:dyDescent="0.35">
      <c r="A377" t="s">
        <v>266</v>
      </c>
      <c r="B377" t="s">
        <v>165</v>
      </c>
      <c r="C377" t="s">
        <v>249</v>
      </c>
      <c r="D377" t="s">
        <v>21</v>
      </c>
      <c r="E377" t="s">
        <v>267</v>
      </c>
      <c r="F377" t="s">
        <v>268</v>
      </c>
      <c r="G377">
        <v>3</v>
      </c>
    </row>
    <row r="378" spans="1:7" hidden="1" x14ac:dyDescent="0.35">
      <c r="A378" t="s">
        <v>266</v>
      </c>
      <c r="B378" t="s">
        <v>165</v>
      </c>
      <c r="C378" t="s">
        <v>249</v>
      </c>
      <c r="D378" t="s">
        <v>21</v>
      </c>
      <c r="E378" t="s">
        <v>269</v>
      </c>
      <c r="F378" t="s">
        <v>270</v>
      </c>
      <c r="G378">
        <v>1</v>
      </c>
    </row>
    <row r="379" spans="1:7" hidden="1" x14ac:dyDescent="0.35">
      <c r="A379" t="s">
        <v>266</v>
      </c>
      <c r="B379" t="s">
        <v>165</v>
      </c>
      <c r="C379" t="s">
        <v>249</v>
      </c>
      <c r="D379" t="s">
        <v>21</v>
      </c>
      <c r="E379" t="s">
        <v>271</v>
      </c>
      <c r="F379" t="s">
        <v>272</v>
      </c>
      <c r="G379">
        <v>2</v>
      </c>
    </row>
    <row r="380" spans="1:7" hidden="1" x14ac:dyDescent="0.35">
      <c r="A380" t="s">
        <v>266</v>
      </c>
      <c r="B380" t="s">
        <v>165</v>
      </c>
      <c r="C380" t="s">
        <v>249</v>
      </c>
      <c r="D380" t="s">
        <v>21</v>
      </c>
      <c r="E380" t="s">
        <v>273</v>
      </c>
      <c r="F380" t="s">
        <v>274</v>
      </c>
      <c r="G380">
        <v>1</v>
      </c>
    </row>
    <row r="381" spans="1:7" hidden="1" x14ac:dyDescent="0.35">
      <c r="A381" t="s">
        <v>266</v>
      </c>
      <c r="B381" t="s">
        <v>165</v>
      </c>
      <c r="C381" t="s">
        <v>249</v>
      </c>
      <c r="D381" t="s">
        <v>30</v>
      </c>
      <c r="E381" t="s">
        <v>275</v>
      </c>
      <c r="F381" t="s">
        <v>276</v>
      </c>
      <c r="G381">
        <v>1</v>
      </c>
    </row>
    <row r="382" spans="1:7" hidden="1" x14ac:dyDescent="0.35">
      <c r="A382" t="s">
        <v>266</v>
      </c>
      <c r="B382" t="s">
        <v>165</v>
      </c>
      <c r="C382" t="s">
        <v>249</v>
      </c>
      <c r="D382" t="s">
        <v>30</v>
      </c>
      <c r="E382" t="s">
        <v>277</v>
      </c>
      <c r="F382" t="s">
        <v>278</v>
      </c>
      <c r="G382">
        <v>1</v>
      </c>
    </row>
    <row r="383" spans="1:7" hidden="1" x14ac:dyDescent="0.35">
      <c r="A383" t="s">
        <v>266</v>
      </c>
      <c r="B383" t="s">
        <v>165</v>
      </c>
      <c r="C383" t="s">
        <v>249</v>
      </c>
      <c r="D383" t="s">
        <v>30</v>
      </c>
      <c r="E383" t="s">
        <v>50</v>
      </c>
      <c r="F383" t="s">
        <v>51</v>
      </c>
      <c r="G383">
        <v>24</v>
      </c>
    </row>
    <row r="384" spans="1:7" hidden="1" x14ac:dyDescent="0.35">
      <c r="A384" t="s">
        <v>266</v>
      </c>
      <c r="B384" t="s">
        <v>165</v>
      </c>
      <c r="C384" t="s">
        <v>249</v>
      </c>
      <c r="D384" t="s">
        <v>30</v>
      </c>
      <c r="E384" t="s">
        <v>52</v>
      </c>
      <c r="F384" t="s">
        <v>53</v>
      </c>
      <c r="G384">
        <v>26</v>
      </c>
    </row>
    <row r="385" spans="1:7" hidden="1" x14ac:dyDescent="0.35">
      <c r="A385" t="s">
        <v>266</v>
      </c>
      <c r="B385" t="s">
        <v>165</v>
      </c>
      <c r="C385" t="s">
        <v>249</v>
      </c>
      <c r="D385" t="s">
        <v>30</v>
      </c>
      <c r="E385" t="s">
        <v>54</v>
      </c>
      <c r="F385" t="s">
        <v>55</v>
      </c>
      <c r="G385">
        <v>39</v>
      </c>
    </row>
    <row r="386" spans="1:7" hidden="1" x14ac:dyDescent="0.35">
      <c r="A386" t="s">
        <v>279</v>
      </c>
      <c r="B386" t="s">
        <v>173</v>
      </c>
      <c r="C386" t="s">
        <v>249</v>
      </c>
      <c r="D386" t="s">
        <v>10</v>
      </c>
      <c r="E386" t="s">
        <v>40</v>
      </c>
      <c r="F386" t="s">
        <v>41</v>
      </c>
      <c r="G386">
        <v>47</v>
      </c>
    </row>
    <row r="387" spans="1:7" hidden="1" x14ac:dyDescent="0.35">
      <c r="A387" t="s">
        <v>279</v>
      </c>
      <c r="B387" t="s">
        <v>173</v>
      </c>
      <c r="C387" t="s">
        <v>249</v>
      </c>
      <c r="D387" t="s">
        <v>10</v>
      </c>
      <c r="E387" t="s">
        <v>42</v>
      </c>
      <c r="F387" t="s">
        <v>43</v>
      </c>
      <c r="G387">
        <v>43</v>
      </c>
    </row>
    <row r="388" spans="1:7" hidden="1" x14ac:dyDescent="0.35">
      <c r="A388" t="s">
        <v>279</v>
      </c>
      <c r="B388" t="s">
        <v>173</v>
      </c>
      <c r="C388" t="s">
        <v>249</v>
      </c>
      <c r="D388" t="s">
        <v>10</v>
      </c>
      <c r="E388" t="s">
        <v>17</v>
      </c>
      <c r="F388" t="s">
        <v>18</v>
      </c>
      <c r="G388">
        <v>40</v>
      </c>
    </row>
    <row r="389" spans="1:7" hidden="1" x14ac:dyDescent="0.35">
      <c r="A389" t="s">
        <v>279</v>
      </c>
      <c r="B389" t="s">
        <v>173</v>
      </c>
      <c r="C389" t="s">
        <v>249</v>
      </c>
      <c r="D389" t="s">
        <v>10</v>
      </c>
      <c r="E389" t="s">
        <v>19</v>
      </c>
      <c r="F389" t="s">
        <v>20</v>
      </c>
      <c r="G389">
        <v>46</v>
      </c>
    </row>
    <row r="390" spans="1:7" hidden="1" x14ac:dyDescent="0.35">
      <c r="A390" t="s">
        <v>279</v>
      </c>
      <c r="B390" t="s">
        <v>173</v>
      </c>
      <c r="C390" t="s">
        <v>249</v>
      </c>
      <c r="D390" t="s">
        <v>21</v>
      </c>
      <c r="E390" t="s">
        <v>68</v>
      </c>
      <c r="F390" t="s">
        <v>69</v>
      </c>
      <c r="G390">
        <v>13</v>
      </c>
    </row>
    <row r="391" spans="1:7" hidden="1" x14ac:dyDescent="0.35">
      <c r="A391" t="s">
        <v>279</v>
      </c>
      <c r="B391" t="s">
        <v>173</v>
      </c>
      <c r="C391" t="s">
        <v>249</v>
      </c>
      <c r="D391" t="s">
        <v>21</v>
      </c>
      <c r="E391" t="s">
        <v>26</v>
      </c>
      <c r="F391" t="s">
        <v>27</v>
      </c>
      <c r="G391">
        <v>21</v>
      </c>
    </row>
    <row r="392" spans="1:7" hidden="1" x14ac:dyDescent="0.35">
      <c r="A392" t="s">
        <v>279</v>
      </c>
      <c r="B392" t="s">
        <v>173</v>
      </c>
      <c r="C392" t="s">
        <v>249</v>
      </c>
      <c r="D392" t="s">
        <v>21</v>
      </c>
      <c r="E392" t="s">
        <v>280</v>
      </c>
      <c r="F392" t="s">
        <v>281</v>
      </c>
      <c r="G392">
        <v>1</v>
      </c>
    </row>
    <row r="393" spans="1:7" hidden="1" x14ac:dyDescent="0.35">
      <c r="A393" t="s">
        <v>279</v>
      </c>
      <c r="B393" t="s">
        <v>173</v>
      </c>
      <c r="C393" t="s">
        <v>249</v>
      </c>
      <c r="D393" t="s">
        <v>21</v>
      </c>
      <c r="E393" t="s">
        <v>282</v>
      </c>
      <c r="F393" t="s">
        <v>283</v>
      </c>
      <c r="G393">
        <v>2</v>
      </c>
    </row>
    <row r="394" spans="1:7" hidden="1" x14ac:dyDescent="0.35">
      <c r="A394" t="s">
        <v>279</v>
      </c>
      <c r="B394" t="s">
        <v>173</v>
      </c>
      <c r="C394" t="s">
        <v>249</v>
      </c>
      <c r="D394" t="s">
        <v>30</v>
      </c>
      <c r="E394" t="s">
        <v>284</v>
      </c>
      <c r="F394" t="s">
        <v>285</v>
      </c>
      <c r="G394">
        <v>1</v>
      </c>
    </row>
    <row r="395" spans="1:7" hidden="1" x14ac:dyDescent="0.35">
      <c r="A395" t="s">
        <v>279</v>
      </c>
      <c r="B395" t="s">
        <v>173</v>
      </c>
      <c r="C395" t="s">
        <v>249</v>
      </c>
      <c r="D395" t="s">
        <v>30</v>
      </c>
      <c r="E395" t="s">
        <v>286</v>
      </c>
      <c r="F395" t="s">
        <v>287</v>
      </c>
      <c r="G395">
        <v>1</v>
      </c>
    </row>
    <row r="396" spans="1:7" hidden="1" x14ac:dyDescent="0.35">
      <c r="A396" t="s">
        <v>279</v>
      </c>
      <c r="B396" t="s">
        <v>173</v>
      </c>
      <c r="C396" t="s">
        <v>249</v>
      </c>
      <c r="D396" t="s">
        <v>30</v>
      </c>
      <c r="E396" t="s">
        <v>288</v>
      </c>
      <c r="F396" t="s">
        <v>289</v>
      </c>
      <c r="G396">
        <v>1</v>
      </c>
    </row>
    <row r="397" spans="1:7" hidden="1" x14ac:dyDescent="0.35">
      <c r="A397" t="s">
        <v>279</v>
      </c>
      <c r="B397" t="s">
        <v>173</v>
      </c>
      <c r="C397" t="s">
        <v>249</v>
      </c>
      <c r="D397" t="s">
        <v>30</v>
      </c>
      <c r="E397" t="s">
        <v>50</v>
      </c>
      <c r="F397" t="s">
        <v>51</v>
      </c>
      <c r="G397">
        <v>24</v>
      </c>
    </row>
    <row r="398" spans="1:7" hidden="1" x14ac:dyDescent="0.35">
      <c r="A398" t="s">
        <v>279</v>
      </c>
      <c r="B398" t="s">
        <v>173</v>
      </c>
      <c r="C398" t="s">
        <v>249</v>
      </c>
      <c r="D398" t="s">
        <v>30</v>
      </c>
      <c r="E398" t="s">
        <v>52</v>
      </c>
      <c r="F398" t="s">
        <v>53</v>
      </c>
      <c r="G398">
        <v>26</v>
      </c>
    </row>
    <row r="399" spans="1:7" hidden="1" x14ac:dyDescent="0.35">
      <c r="A399" t="s">
        <v>279</v>
      </c>
      <c r="B399" t="s">
        <v>173</v>
      </c>
      <c r="C399" t="s">
        <v>249</v>
      </c>
      <c r="D399" t="s">
        <v>30</v>
      </c>
      <c r="E399" t="s">
        <v>54</v>
      </c>
      <c r="F399" t="s">
        <v>55</v>
      </c>
      <c r="G399">
        <v>39</v>
      </c>
    </row>
    <row r="400" spans="1:7" hidden="1" x14ac:dyDescent="0.35">
      <c r="A400" t="s">
        <v>279</v>
      </c>
      <c r="B400" t="s">
        <v>173</v>
      </c>
      <c r="C400" t="s">
        <v>249</v>
      </c>
      <c r="D400" t="s">
        <v>30</v>
      </c>
      <c r="E400" t="s">
        <v>290</v>
      </c>
      <c r="F400" t="s">
        <v>291</v>
      </c>
      <c r="G400">
        <v>3</v>
      </c>
    </row>
    <row r="401" spans="1:7" hidden="1" x14ac:dyDescent="0.35">
      <c r="A401" t="s">
        <v>279</v>
      </c>
      <c r="B401" t="s">
        <v>173</v>
      </c>
      <c r="C401" t="s">
        <v>249</v>
      </c>
      <c r="D401" t="s">
        <v>30</v>
      </c>
      <c r="E401" t="s">
        <v>243</v>
      </c>
      <c r="F401" t="s">
        <v>244</v>
      </c>
      <c r="G401">
        <v>10</v>
      </c>
    </row>
    <row r="402" spans="1:7" hidden="1" x14ac:dyDescent="0.35">
      <c r="A402" t="s">
        <v>292</v>
      </c>
      <c r="B402" t="s">
        <v>173</v>
      </c>
      <c r="C402" t="s">
        <v>249</v>
      </c>
      <c r="D402" t="s">
        <v>10</v>
      </c>
      <c r="E402" t="s">
        <v>40</v>
      </c>
      <c r="F402" t="s">
        <v>41</v>
      </c>
      <c r="G402">
        <v>47</v>
      </c>
    </row>
    <row r="403" spans="1:7" hidden="1" x14ac:dyDescent="0.35">
      <c r="A403" t="s">
        <v>292</v>
      </c>
      <c r="B403" t="s">
        <v>173</v>
      </c>
      <c r="C403" t="s">
        <v>249</v>
      </c>
      <c r="D403" t="s">
        <v>10</v>
      </c>
      <c r="E403" t="s">
        <v>42</v>
      </c>
      <c r="F403" t="s">
        <v>43</v>
      </c>
      <c r="G403">
        <v>43</v>
      </c>
    </row>
    <row r="404" spans="1:7" hidden="1" x14ac:dyDescent="0.35">
      <c r="A404" t="s">
        <v>292</v>
      </c>
      <c r="B404" t="s">
        <v>173</v>
      </c>
      <c r="C404" t="s">
        <v>249</v>
      </c>
      <c r="D404" t="s">
        <v>10</v>
      </c>
      <c r="E404" t="s">
        <v>17</v>
      </c>
      <c r="F404" t="s">
        <v>18</v>
      </c>
      <c r="G404">
        <v>40</v>
      </c>
    </row>
    <row r="405" spans="1:7" hidden="1" x14ac:dyDescent="0.35">
      <c r="A405" t="s">
        <v>292</v>
      </c>
      <c r="B405" t="s">
        <v>173</v>
      </c>
      <c r="C405" t="s">
        <v>249</v>
      </c>
      <c r="D405" t="s">
        <v>10</v>
      </c>
      <c r="E405" t="s">
        <v>19</v>
      </c>
      <c r="F405" t="s">
        <v>20</v>
      </c>
      <c r="G405">
        <v>46</v>
      </c>
    </row>
    <row r="406" spans="1:7" hidden="1" x14ac:dyDescent="0.35">
      <c r="A406" t="s">
        <v>292</v>
      </c>
      <c r="B406" t="s">
        <v>173</v>
      </c>
      <c r="C406" t="s">
        <v>249</v>
      </c>
      <c r="D406" t="s">
        <v>21</v>
      </c>
      <c r="E406" t="s">
        <v>293</v>
      </c>
      <c r="F406" t="s">
        <v>294</v>
      </c>
      <c r="G406">
        <v>1</v>
      </c>
    </row>
    <row r="407" spans="1:7" hidden="1" x14ac:dyDescent="0.35">
      <c r="A407" t="s">
        <v>292</v>
      </c>
      <c r="B407" t="s">
        <v>173</v>
      </c>
      <c r="C407" t="s">
        <v>249</v>
      </c>
      <c r="D407" t="s">
        <v>21</v>
      </c>
      <c r="E407" t="s">
        <v>282</v>
      </c>
      <c r="F407" t="s">
        <v>283</v>
      </c>
      <c r="G407">
        <v>2</v>
      </c>
    </row>
    <row r="408" spans="1:7" hidden="1" x14ac:dyDescent="0.35">
      <c r="A408" t="s">
        <v>292</v>
      </c>
      <c r="B408" t="s">
        <v>173</v>
      </c>
      <c r="C408" t="s">
        <v>249</v>
      </c>
      <c r="D408" t="s">
        <v>21</v>
      </c>
      <c r="E408" t="s">
        <v>189</v>
      </c>
      <c r="F408" t="s">
        <v>190</v>
      </c>
      <c r="G408">
        <v>3</v>
      </c>
    </row>
    <row r="409" spans="1:7" hidden="1" x14ac:dyDescent="0.35">
      <c r="A409" t="s">
        <v>292</v>
      </c>
      <c r="B409" t="s">
        <v>173</v>
      </c>
      <c r="C409" t="s">
        <v>249</v>
      </c>
      <c r="D409" t="s">
        <v>21</v>
      </c>
      <c r="E409" t="s">
        <v>26</v>
      </c>
      <c r="F409" t="s">
        <v>27</v>
      </c>
      <c r="G409">
        <v>21</v>
      </c>
    </row>
    <row r="410" spans="1:7" hidden="1" x14ac:dyDescent="0.35">
      <c r="A410" t="s">
        <v>292</v>
      </c>
      <c r="B410" t="s">
        <v>173</v>
      </c>
      <c r="C410" t="s">
        <v>249</v>
      </c>
      <c r="D410" t="s">
        <v>21</v>
      </c>
      <c r="E410" t="s">
        <v>295</v>
      </c>
      <c r="F410" t="s">
        <v>296</v>
      </c>
      <c r="G410">
        <v>1</v>
      </c>
    </row>
    <row r="411" spans="1:7" hidden="1" x14ac:dyDescent="0.35">
      <c r="A411" t="s">
        <v>292</v>
      </c>
      <c r="B411" t="s">
        <v>173</v>
      </c>
      <c r="C411" t="s">
        <v>249</v>
      </c>
      <c r="D411" t="s">
        <v>21</v>
      </c>
      <c r="E411" t="s">
        <v>297</v>
      </c>
      <c r="F411" t="s">
        <v>298</v>
      </c>
      <c r="G411">
        <v>1</v>
      </c>
    </row>
    <row r="412" spans="1:7" hidden="1" x14ac:dyDescent="0.35">
      <c r="A412" t="s">
        <v>292</v>
      </c>
      <c r="B412" t="s">
        <v>173</v>
      </c>
      <c r="C412" t="s">
        <v>249</v>
      </c>
      <c r="D412" t="s">
        <v>21</v>
      </c>
      <c r="E412" t="s">
        <v>299</v>
      </c>
      <c r="F412" t="s">
        <v>300</v>
      </c>
      <c r="G412">
        <v>1</v>
      </c>
    </row>
    <row r="413" spans="1:7" hidden="1" x14ac:dyDescent="0.35">
      <c r="A413" t="s">
        <v>292</v>
      </c>
      <c r="B413" t="s">
        <v>173</v>
      </c>
      <c r="C413" t="s">
        <v>249</v>
      </c>
      <c r="D413" t="s">
        <v>21</v>
      </c>
      <c r="E413" t="s">
        <v>28</v>
      </c>
      <c r="F413" t="s">
        <v>29</v>
      </c>
      <c r="G413">
        <v>28</v>
      </c>
    </row>
    <row r="414" spans="1:7" hidden="1" x14ac:dyDescent="0.35">
      <c r="A414" t="s">
        <v>292</v>
      </c>
      <c r="B414" t="s">
        <v>173</v>
      </c>
      <c r="C414" t="s">
        <v>249</v>
      </c>
      <c r="D414" t="s">
        <v>30</v>
      </c>
      <c r="E414" t="s">
        <v>301</v>
      </c>
      <c r="F414" t="s">
        <v>302</v>
      </c>
      <c r="G414">
        <v>1</v>
      </c>
    </row>
    <row r="415" spans="1:7" hidden="1" x14ac:dyDescent="0.35">
      <c r="A415" t="s">
        <v>292</v>
      </c>
      <c r="B415" t="s">
        <v>173</v>
      </c>
      <c r="C415" t="s">
        <v>249</v>
      </c>
      <c r="D415" t="s">
        <v>30</v>
      </c>
      <c r="E415" t="s">
        <v>50</v>
      </c>
      <c r="F415" t="s">
        <v>51</v>
      </c>
      <c r="G415">
        <v>24</v>
      </c>
    </row>
    <row r="416" spans="1:7" hidden="1" x14ac:dyDescent="0.35">
      <c r="A416" t="s">
        <v>292</v>
      </c>
      <c r="B416" t="s">
        <v>173</v>
      </c>
      <c r="C416" t="s">
        <v>249</v>
      </c>
      <c r="D416" t="s">
        <v>30</v>
      </c>
      <c r="E416" t="s">
        <v>52</v>
      </c>
      <c r="F416" t="s">
        <v>53</v>
      </c>
      <c r="G416">
        <v>26</v>
      </c>
    </row>
    <row r="417" spans="1:7" hidden="1" x14ac:dyDescent="0.35">
      <c r="A417" t="s">
        <v>292</v>
      </c>
      <c r="B417" t="s">
        <v>173</v>
      </c>
      <c r="C417" t="s">
        <v>249</v>
      </c>
      <c r="D417" t="s">
        <v>30</v>
      </c>
      <c r="E417" t="s">
        <v>54</v>
      </c>
      <c r="F417" t="s">
        <v>55</v>
      </c>
      <c r="G417">
        <v>39</v>
      </c>
    </row>
    <row r="418" spans="1:7" hidden="1" x14ac:dyDescent="0.35">
      <c r="A418" t="s">
        <v>292</v>
      </c>
      <c r="B418" t="s">
        <v>173</v>
      </c>
      <c r="C418" t="s">
        <v>249</v>
      </c>
      <c r="D418" t="s">
        <v>30</v>
      </c>
      <c r="E418" t="s">
        <v>290</v>
      </c>
      <c r="F418" t="s">
        <v>291</v>
      </c>
      <c r="G418">
        <v>3</v>
      </c>
    </row>
    <row r="419" spans="1:7" hidden="1" x14ac:dyDescent="0.35">
      <c r="A419" t="s">
        <v>292</v>
      </c>
      <c r="B419" t="s">
        <v>173</v>
      </c>
      <c r="C419" t="s">
        <v>249</v>
      </c>
      <c r="D419" t="s">
        <v>30</v>
      </c>
      <c r="E419" t="s">
        <v>243</v>
      </c>
      <c r="F419" t="s">
        <v>244</v>
      </c>
      <c r="G419">
        <v>10</v>
      </c>
    </row>
    <row r="420" spans="1:7" hidden="1" x14ac:dyDescent="0.35">
      <c r="A420" t="s">
        <v>303</v>
      </c>
      <c r="B420" t="s">
        <v>173</v>
      </c>
      <c r="C420" t="s">
        <v>249</v>
      </c>
      <c r="D420" t="s">
        <v>10</v>
      </c>
      <c r="E420" t="s">
        <v>40</v>
      </c>
      <c r="F420" t="s">
        <v>41</v>
      </c>
      <c r="G420">
        <v>47</v>
      </c>
    </row>
    <row r="421" spans="1:7" hidden="1" x14ac:dyDescent="0.35">
      <c r="A421" t="s">
        <v>303</v>
      </c>
      <c r="B421" t="s">
        <v>173</v>
      </c>
      <c r="C421" t="s">
        <v>249</v>
      </c>
      <c r="D421" t="s">
        <v>10</v>
      </c>
      <c r="E421" t="s">
        <v>42</v>
      </c>
      <c r="F421" t="s">
        <v>43</v>
      </c>
      <c r="G421">
        <v>43</v>
      </c>
    </row>
    <row r="422" spans="1:7" hidden="1" x14ac:dyDescent="0.35">
      <c r="A422" t="s">
        <v>303</v>
      </c>
      <c r="B422" t="s">
        <v>173</v>
      </c>
      <c r="C422" t="s">
        <v>249</v>
      </c>
      <c r="D422" t="s">
        <v>10</v>
      </c>
      <c r="E422" t="s">
        <v>304</v>
      </c>
      <c r="F422" t="s">
        <v>305</v>
      </c>
      <c r="G422">
        <v>6</v>
      </c>
    </row>
    <row r="423" spans="1:7" hidden="1" x14ac:dyDescent="0.35">
      <c r="A423" t="s">
        <v>303</v>
      </c>
      <c r="B423" t="s">
        <v>173</v>
      </c>
      <c r="C423" t="s">
        <v>249</v>
      </c>
      <c r="D423" t="s">
        <v>10</v>
      </c>
      <c r="E423" t="s">
        <v>306</v>
      </c>
      <c r="F423" t="s">
        <v>302</v>
      </c>
      <c r="G423">
        <v>1</v>
      </c>
    </row>
    <row r="424" spans="1:7" hidden="1" x14ac:dyDescent="0.35">
      <c r="A424" t="s">
        <v>303</v>
      </c>
      <c r="B424" t="s">
        <v>173</v>
      </c>
      <c r="C424" t="s">
        <v>249</v>
      </c>
      <c r="D424" t="s">
        <v>10</v>
      </c>
      <c r="E424" t="s">
        <v>17</v>
      </c>
      <c r="F424" t="s">
        <v>18</v>
      </c>
      <c r="G424">
        <v>40</v>
      </c>
    </row>
    <row r="425" spans="1:7" hidden="1" x14ac:dyDescent="0.35">
      <c r="A425" t="s">
        <v>303</v>
      </c>
      <c r="B425" t="s">
        <v>173</v>
      </c>
      <c r="C425" t="s">
        <v>249</v>
      </c>
      <c r="D425" t="s">
        <v>10</v>
      </c>
      <c r="E425" t="s">
        <v>19</v>
      </c>
      <c r="F425" t="s">
        <v>20</v>
      </c>
      <c r="G425">
        <v>46</v>
      </c>
    </row>
    <row r="426" spans="1:7" hidden="1" x14ac:dyDescent="0.35">
      <c r="A426" t="s">
        <v>303</v>
      </c>
      <c r="B426" t="s">
        <v>173</v>
      </c>
      <c r="C426" t="s">
        <v>249</v>
      </c>
      <c r="D426" t="s">
        <v>21</v>
      </c>
      <c r="E426" t="s">
        <v>26</v>
      </c>
      <c r="F426" t="s">
        <v>27</v>
      </c>
      <c r="G426">
        <v>21</v>
      </c>
    </row>
    <row r="427" spans="1:7" hidden="1" x14ac:dyDescent="0.35">
      <c r="A427" t="s">
        <v>303</v>
      </c>
      <c r="B427" t="s">
        <v>173</v>
      </c>
      <c r="C427" t="s">
        <v>249</v>
      </c>
      <c r="D427" t="s">
        <v>21</v>
      </c>
      <c r="E427" t="s">
        <v>108</v>
      </c>
      <c r="F427" t="s">
        <v>109</v>
      </c>
      <c r="G427">
        <v>13</v>
      </c>
    </row>
    <row r="428" spans="1:7" hidden="1" x14ac:dyDescent="0.35">
      <c r="A428" t="s">
        <v>303</v>
      </c>
      <c r="B428" t="s">
        <v>173</v>
      </c>
      <c r="C428" t="s">
        <v>249</v>
      </c>
      <c r="D428" t="s">
        <v>30</v>
      </c>
      <c r="E428" t="s">
        <v>50</v>
      </c>
      <c r="F428" t="s">
        <v>51</v>
      </c>
      <c r="G428">
        <v>24</v>
      </c>
    </row>
    <row r="429" spans="1:7" hidden="1" x14ac:dyDescent="0.35">
      <c r="A429" t="s">
        <v>303</v>
      </c>
      <c r="B429" t="s">
        <v>173</v>
      </c>
      <c r="C429" t="s">
        <v>249</v>
      </c>
      <c r="D429" t="s">
        <v>30</v>
      </c>
      <c r="E429" t="s">
        <v>52</v>
      </c>
      <c r="F429" t="s">
        <v>53</v>
      </c>
      <c r="G429">
        <v>26</v>
      </c>
    </row>
    <row r="430" spans="1:7" hidden="1" x14ac:dyDescent="0.35">
      <c r="A430" t="s">
        <v>303</v>
      </c>
      <c r="B430" t="s">
        <v>173</v>
      </c>
      <c r="C430" t="s">
        <v>249</v>
      </c>
      <c r="D430" t="s">
        <v>30</v>
      </c>
      <c r="E430" t="s">
        <v>54</v>
      </c>
      <c r="F430" t="s">
        <v>55</v>
      </c>
      <c r="G430">
        <v>39</v>
      </c>
    </row>
    <row r="431" spans="1:7" hidden="1" x14ac:dyDescent="0.35">
      <c r="A431" t="s">
        <v>303</v>
      </c>
      <c r="B431" t="s">
        <v>173</v>
      </c>
      <c r="C431" t="s">
        <v>249</v>
      </c>
      <c r="D431" t="s">
        <v>30</v>
      </c>
      <c r="E431" t="s">
        <v>290</v>
      </c>
      <c r="F431" t="s">
        <v>291</v>
      </c>
      <c r="G431">
        <v>3</v>
      </c>
    </row>
    <row r="432" spans="1:7" hidden="1" x14ac:dyDescent="0.35">
      <c r="A432" t="s">
        <v>307</v>
      </c>
      <c r="B432" t="s">
        <v>186</v>
      </c>
      <c r="C432" t="s">
        <v>249</v>
      </c>
      <c r="D432" t="s">
        <v>10</v>
      </c>
      <c r="E432" t="s">
        <v>40</v>
      </c>
      <c r="F432" t="s">
        <v>41</v>
      </c>
      <c r="G432">
        <v>47</v>
      </c>
    </row>
    <row r="433" spans="1:7" hidden="1" x14ac:dyDescent="0.35">
      <c r="A433" t="s">
        <v>307</v>
      </c>
      <c r="B433" t="s">
        <v>186</v>
      </c>
      <c r="C433" t="s">
        <v>249</v>
      </c>
      <c r="D433" t="s">
        <v>10</v>
      </c>
      <c r="E433" t="s">
        <v>42</v>
      </c>
      <c r="F433" t="s">
        <v>43</v>
      </c>
      <c r="G433">
        <v>43</v>
      </c>
    </row>
    <row r="434" spans="1:7" hidden="1" x14ac:dyDescent="0.35">
      <c r="A434" t="s">
        <v>307</v>
      </c>
      <c r="B434" t="s">
        <v>186</v>
      </c>
      <c r="C434" t="s">
        <v>249</v>
      </c>
      <c r="D434" t="s">
        <v>10</v>
      </c>
      <c r="E434" t="s">
        <v>304</v>
      </c>
      <c r="F434" t="s">
        <v>305</v>
      </c>
      <c r="G434">
        <v>6</v>
      </c>
    </row>
    <row r="435" spans="1:7" hidden="1" x14ac:dyDescent="0.35">
      <c r="A435" t="s">
        <v>307</v>
      </c>
      <c r="B435" t="s">
        <v>186</v>
      </c>
      <c r="C435" t="s">
        <v>249</v>
      </c>
      <c r="D435" t="s">
        <v>10</v>
      </c>
      <c r="E435" t="s">
        <v>17</v>
      </c>
      <c r="F435" t="s">
        <v>18</v>
      </c>
      <c r="G435">
        <v>40</v>
      </c>
    </row>
    <row r="436" spans="1:7" hidden="1" x14ac:dyDescent="0.35">
      <c r="A436" t="s">
        <v>307</v>
      </c>
      <c r="B436" t="s">
        <v>186</v>
      </c>
      <c r="C436" t="s">
        <v>249</v>
      </c>
      <c r="D436" t="s">
        <v>10</v>
      </c>
      <c r="E436" t="s">
        <v>19</v>
      </c>
      <c r="F436" t="s">
        <v>20</v>
      </c>
      <c r="G436">
        <v>46</v>
      </c>
    </row>
    <row r="437" spans="1:7" hidden="1" x14ac:dyDescent="0.35">
      <c r="A437" t="s">
        <v>307</v>
      </c>
      <c r="B437" t="s">
        <v>186</v>
      </c>
      <c r="C437" t="s">
        <v>249</v>
      </c>
      <c r="D437" t="s">
        <v>21</v>
      </c>
      <c r="E437" t="s">
        <v>189</v>
      </c>
      <c r="F437" t="s">
        <v>190</v>
      </c>
      <c r="G437">
        <v>3</v>
      </c>
    </row>
    <row r="438" spans="1:7" hidden="1" x14ac:dyDescent="0.35">
      <c r="A438" t="s">
        <v>307</v>
      </c>
      <c r="B438" t="s">
        <v>186</v>
      </c>
      <c r="C438" t="s">
        <v>249</v>
      </c>
      <c r="D438" t="s">
        <v>21</v>
      </c>
      <c r="E438" t="s">
        <v>193</v>
      </c>
      <c r="F438" t="s">
        <v>194</v>
      </c>
      <c r="G438">
        <v>2</v>
      </c>
    </row>
    <row r="439" spans="1:7" hidden="1" x14ac:dyDescent="0.35">
      <c r="A439" t="s">
        <v>307</v>
      </c>
      <c r="B439" t="s">
        <v>186</v>
      </c>
      <c r="C439" t="s">
        <v>249</v>
      </c>
      <c r="D439" t="s">
        <v>21</v>
      </c>
      <c r="E439" t="s">
        <v>308</v>
      </c>
      <c r="F439" t="s">
        <v>309</v>
      </c>
      <c r="G439">
        <v>2</v>
      </c>
    </row>
    <row r="440" spans="1:7" hidden="1" x14ac:dyDescent="0.35">
      <c r="A440" t="s">
        <v>307</v>
      </c>
      <c r="B440" t="s">
        <v>186</v>
      </c>
      <c r="C440" t="s">
        <v>249</v>
      </c>
      <c r="D440" t="s">
        <v>21</v>
      </c>
      <c r="E440" t="s">
        <v>108</v>
      </c>
      <c r="F440" t="s">
        <v>109</v>
      </c>
      <c r="G440">
        <v>13</v>
      </c>
    </row>
    <row r="441" spans="1:7" hidden="1" x14ac:dyDescent="0.35">
      <c r="A441" t="s">
        <v>307</v>
      </c>
      <c r="B441" t="s">
        <v>186</v>
      </c>
      <c r="C441" t="s">
        <v>249</v>
      </c>
      <c r="D441" t="s">
        <v>21</v>
      </c>
      <c r="E441" t="s">
        <v>310</v>
      </c>
      <c r="F441" t="s">
        <v>311</v>
      </c>
      <c r="G441">
        <v>1</v>
      </c>
    </row>
    <row r="442" spans="1:7" hidden="1" x14ac:dyDescent="0.35">
      <c r="A442" t="s">
        <v>307</v>
      </c>
      <c r="B442" t="s">
        <v>186</v>
      </c>
      <c r="C442" t="s">
        <v>249</v>
      </c>
      <c r="D442" t="s">
        <v>21</v>
      </c>
      <c r="E442" t="s">
        <v>26</v>
      </c>
      <c r="F442" t="s">
        <v>27</v>
      </c>
      <c r="G442">
        <v>21</v>
      </c>
    </row>
    <row r="443" spans="1:7" hidden="1" x14ac:dyDescent="0.35">
      <c r="A443" t="s">
        <v>307</v>
      </c>
      <c r="B443" t="s">
        <v>186</v>
      </c>
      <c r="C443" t="s">
        <v>249</v>
      </c>
      <c r="D443" t="s">
        <v>21</v>
      </c>
      <c r="E443" t="s">
        <v>28</v>
      </c>
      <c r="F443" t="s">
        <v>29</v>
      </c>
      <c r="G443">
        <v>28</v>
      </c>
    </row>
    <row r="444" spans="1:7" hidden="1" x14ac:dyDescent="0.35">
      <c r="A444" t="s">
        <v>307</v>
      </c>
      <c r="B444" t="s">
        <v>186</v>
      </c>
      <c r="C444" t="s">
        <v>249</v>
      </c>
      <c r="D444" t="s">
        <v>30</v>
      </c>
      <c r="E444" t="s">
        <v>312</v>
      </c>
      <c r="F444" t="s">
        <v>313</v>
      </c>
      <c r="G444">
        <v>1</v>
      </c>
    </row>
    <row r="445" spans="1:7" hidden="1" x14ac:dyDescent="0.35">
      <c r="A445" t="s">
        <v>307</v>
      </c>
      <c r="B445" t="s">
        <v>186</v>
      </c>
      <c r="C445" t="s">
        <v>249</v>
      </c>
      <c r="D445" t="s">
        <v>30</v>
      </c>
      <c r="E445" t="s">
        <v>52</v>
      </c>
      <c r="F445" t="s">
        <v>53</v>
      </c>
      <c r="G445">
        <v>26</v>
      </c>
    </row>
    <row r="446" spans="1:7" hidden="1" x14ac:dyDescent="0.35">
      <c r="A446" t="s">
        <v>307</v>
      </c>
      <c r="B446" t="s">
        <v>186</v>
      </c>
      <c r="C446" t="s">
        <v>249</v>
      </c>
      <c r="D446" t="s">
        <v>30</v>
      </c>
      <c r="E446" t="s">
        <v>54</v>
      </c>
      <c r="F446" t="s">
        <v>55</v>
      </c>
      <c r="G446">
        <v>39</v>
      </c>
    </row>
    <row r="447" spans="1:7" hidden="1" x14ac:dyDescent="0.35">
      <c r="A447" t="s">
        <v>307</v>
      </c>
      <c r="B447" t="s">
        <v>186</v>
      </c>
      <c r="C447" t="s">
        <v>249</v>
      </c>
      <c r="D447" t="s">
        <v>30</v>
      </c>
      <c r="E447" t="s">
        <v>243</v>
      </c>
      <c r="F447" t="s">
        <v>244</v>
      </c>
      <c r="G447">
        <v>10</v>
      </c>
    </row>
    <row r="448" spans="1:7" hidden="1" x14ac:dyDescent="0.35">
      <c r="A448" t="s">
        <v>314</v>
      </c>
      <c r="B448" t="s">
        <v>198</v>
      </c>
      <c r="C448" t="s">
        <v>249</v>
      </c>
      <c r="D448" t="s">
        <v>10</v>
      </c>
      <c r="E448" t="s">
        <v>40</v>
      </c>
      <c r="F448" t="s">
        <v>41</v>
      </c>
      <c r="G448">
        <v>47</v>
      </c>
    </row>
    <row r="449" spans="1:7" hidden="1" x14ac:dyDescent="0.35">
      <c r="A449" t="s">
        <v>314</v>
      </c>
      <c r="B449" t="s">
        <v>198</v>
      </c>
      <c r="C449" t="s">
        <v>249</v>
      </c>
      <c r="D449" t="s">
        <v>10</v>
      </c>
      <c r="E449" t="s">
        <v>42</v>
      </c>
      <c r="F449" t="s">
        <v>43</v>
      </c>
      <c r="G449">
        <v>43</v>
      </c>
    </row>
    <row r="450" spans="1:7" hidden="1" x14ac:dyDescent="0.35">
      <c r="A450" t="s">
        <v>314</v>
      </c>
      <c r="B450" t="s">
        <v>198</v>
      </c>
      <c r="C450" t="s">
        <v>249</v>
      </c>
      <c r="D450" t="s">
        <v>10</v>
      </c>
      <c r="E450" t="s">
        <v>315</v>
      </c>
      <c r="F450" t="s">
        <v>51</v>
      </c>
      <c r="G450">
        <v>2</v>
      </c>
    </row>
    <row r="451" spans="1:7" hidden="1" x14ac:dyDescent="0.35">
      <c r="A451" t="s">
        <v>314</v>
      </c>
      <c r="B451" t="s">
        <v>198</v>
      </c>
      <c r="C451" t="s">
        <v>249</v>
      </c>
      <c r="D451" t="s">
        <v>21</v>
      </c>
      <c r="E451" t="s">
        <v>22</v>
      </c>
      <c r="F451" t="s">
        <v>23</v>
      </c>
      <c r="G451">
        <v>36</v>
      </c>
    </row>
    <row r="452" spans="1:7" hidden="1" x14ac:dyDescent="0.35">
      <c r="A452" t="s">
        <v>314</v>
      </c>
      <c r="B452" t="s">
        <v>198</v>
      </c>
      <c r="C452" t="s">
        <v>249</v>
      </c>
      <c r="D452" t="s">
        <v>21</v>
      </c>
      <c r="E452" t="s">
        <v>26</v>
      </c>
      <c r="F452" t="s">
        <v>27</v>
      </c>
      <c r="G452">
        <v>21</v>
      </c>
    </row>
    <row r="453" spans="1:7" hidden="1" x14ac:dyDescent="0.35">
      <c r="A453" t="s">
        <v>314</v>
      </c>
      <c r="B453" t="s">
        <v>198</v>
      </c>
      <c r="C453" t="s">
        <v>249</v>
      </c>
      <c r="D453" t="s">
        <v>21</v>
      </c>
      <c r="E453" t="s">
        <v>108</v>
      </c>
      <c r="F453" t="s">
        <v>109</v>
      </c>
      <c r="G453">
        <v>13</v>
      </c>
    </row>
    <row r="454" spans="1:7" hidden="1" x14ac:dyDescent="0.35">
      <c r="A454" t="s">
        <v>314</v>
      </c>
      <c r="B454" t="s">
        <v>198</v>
      </c>
      <c r="C454" t="s">
        <v>249</v>
      </c>
      <c r="D454" t="s">
        <v>30</v>
      </c>
      <c r="E454" t="s">
        <v>50</v>
      </c>
      <c r="F454" t="s">
        <v>51</v>
      </c>
      <c r="G454">
        <v>24</v>
      </c>
    </row>
    <row r="455" spans="1:7" hidden="1" x14ac:dyDescent="0.35">
      <c r="A455" t="s">
        <v>314</v>
      </c>
      <c r="B455" t="s">
        <v>198</v>
      </c>
      <c r="C455" t="s">
        <v>249</v>
      </c>
      <c r="D455" t="s">
        <v>30</v>
      </c>
      <c r="E455" t="s">
        <v>54</v>
      </c>
      <c r="F455" t="s">
        <v>55</v>
      </c>
      <c r="G455">
        <v>39</v>
      </c>
    </row>
    <row r="456" spans="1:7" hidden="1" x14ac:dyDescent="0.35">
      <c r="A456" t="s">
        <v>316</v>
      </c>
      <c r="B456" t="s">
        <v>226</v>
      </c>
      <c r="C456" t="s">
        <v>249</v>
      </c>
      <c r="D456" t="s">
        <v>10</v>
      </c>
      <c r="E456" t="s">
        <v>40</v>
      </c>
      <c r="F456" t="s">
        <v>41</v>
      </c>
      <c r="G456">
        <v>47</v>
      </c>
    </row>
    <row r="457" spans="1:7" hidden="1" x14ac:dyDescent="0.35">
      <c r="A457" t="s">
        <v>316</v>
      </c>
      <c r="B457" t="s">
        <v>226</v>
      </c>
      <c r="C457" t="s">
        <v>249</v>
      </c>
      <c r="D457" t="s">
        <v>10</v>
      </c>
      <c r="E457" t="s">
        <v>42</v>
      </c>
      <c r="F457" t="s">
        <v>43</v>
      </c>
      <c r="G457">
        <v>43</v>
      </c>
    </row>
    <row r="458" spans="1:7" hidden="1" x14ac:dyDescent="0.35">
      <c r="A458" t="s">
        <v>316</v>
      </c>
      <c r="B458" t="s">
        <v>226</v>
      </c>
      <c r="C458" t="s">
        <v>249</v>
      </c>
      <c r="D458" t="s">
        <v>10</v>
      </c>
      <c r="E458" t="s">
        <v>202</v>
      </c>
      <c r="F458" t="s">
        <v>203</v>
      </c>
      <c r="G458">
        <v>4</v>
      </c>
    </row>
    <row r="459" spans="1:7" hidden="1" x14ac:dyDescent="0.35">
      <c r="A459" t="s">
        <v>316</v>
      </c>
      <c r="B459" t="s">
        <v>226</v>
      </c>
      <c r="C459" t="s">
        <v>249</v>
      </c>
      <c r="D459" t="s">
        <v>10</v>
      </c>
      <c r="E459" t="s">
        <v>317</v>
      </c>
      <c r="F459" t="s">
        <v>318</v>
      </c>
      <c r="G459">
        <v>1</v>
      </c>
    </row>
    <row r="460" spans="1:7" hidden="1" x14ac:dyDescent="0.35">
      <c r="A460" t="s">
        <v>316</v>
      </c>
      <c r="B460" t="s">
        <v>226</v>
      </c>
      <c r="C460" t="s">
        <v>249</v>
      </c>
      <c r="D460" t="s">
        <v>10</v>
      </c>
      <c r="E460" t="s">
        <v>17</v>
      </c>
      <c r="F460" t="s">
        <v>18</v>
      </c>
      <c r="G460">
        <v>40</v>
      </c>
    </row>
    <row r="461" spans="1:7" hidden="1" x14ac:dyDescent="0.35">
      <c r="A461" t="s">
        <v>316</v>
      </c>
      <c r="B461" t="s">
        <v>226</v>
      </c>
      <c r="C461" t="s">
        <v>249</v>
      </c>
      <c r="D461" t="s">
        <v>10</v>
      </c>
      <c r="E461" t="s">
        <v>19</v>
      </c>
      <c r="F461" t="s">
        <v>20</v>
      </c>
      <c r="G461">
        <v>46</v>
      </c>
    </row>
    <row r="462" spans="1:7" hidden="1" x14ac:dyDescent="0.35">
      <c r="A462" t="s">
        <v>316</v>
      </c>
      <c r="B462" t="s">
        <v>226</v>
      </c>
      <c r="C462" t="s">
        <v>249</v>
      </c>
      <c r="D462" t="s">
        <v>21</v>
      </c>
      <c r="E462" t="s">
        <v>22</v>
      </c>
      <c r="F462" t="s">
        <v>23</v>
      </c>
      <c r="G462">
        <v>36</v>
      </c>
    </row>
    <row r="463" spans="1:7" hidden="1" x14ac:dyDescent="0.35">
      <c r="A463" t="s">
        <v>316</v>
      </c>
      <c r="B463" t="s">
        <v>226</v>
      </c>
      <c r="C463" t="s">
        <v>249</v>
      </c>
      <c r="D463" t="s">
        <v>21</v>
      </c>
      <c r="E463" t="s">
        <v>319</v>
      </c>
      <c r="F463" t="s">
        <v>320</v>
      </c>
      <c r="G463">
        <v>1</v>
      </c>
    </row>
    <row r="464" spans="1:7" hidden="1" x14ac:dyDescent="0.35">
      <c r="A464" t="s">
        <v>316</v>
      </c>
      <c r="B464" t="s">
        <v>226</v>
      </c>
      <c r="C464" t="s">
        <v>249</v>
      </c>
      <c r="D464" t="s">
        <v>21</v>
      </c>
      <c r="E464" t="s">
        <v>321</v>
      </c>
      <c r="F464" t="s">
        <v>322</v>
      </c>
      <c r="G464">
        <v>1</v>
      </c>
    </row>
    <row r="465" spans="1:7" hidden="1" x14ac:dyDescent="0.35">
      <c r="A465" t="s">
        <v>316</v>
      </c>
      <c r="B465" t="s">
        <v>226</v>
      </c>
      <c r="C465" t="s">
        <v>249</v>
      </c>
      <c r="D465" t="s">
        <v>21</v>
      </c>
      <c r="E465" t="s">
        <v>44</v>
      </c>
      <c r="F465" t="s">
        <v>45</v>
      </c>
      <c r="G465">
        <v>32</v>
      </c>
    </row>
    <row r="466" spans="1:7" hidden="1" x14ac:dyDescent="0.35">
      <c r="A466" t="s">
        <v>316</v>
      </c>
      <c r="B466" t="s">
        <v>226</v>
      </c>
      <c r="C466" t="s">
        <v>249</v>
      </c>
      <c r="D466" t="s">
        <v>21</v>
      </c>
      <c r="E466" t="s">
        <v>26</v>
      </c>
      <c r="F466" t="s">
        <v>27</v>
      </c>
      <c r="G466">
        <v>21</v>
      </c>
    </row>
    <row r="467" spans="1:7" hidden="1" x14ac:dyDescent="0.35">
      <c r="A467" t="s">
        <v>316</v>
      </c>
      <c r="B467" t="s">
        <v>226</v>
      </c>
      <c r="C467" t="s">
        <v>249</v>
      </c>
      <c r="D467" t="s">
        <v>30</v>
      </c>
      <c r="E467" t="s">
        <v>323</v>
      </c>
      <c r="F467" t="s">
        <v>324</v>
      </c>
      <c r="G467">
        <v>1</v>
      </c>
    </row>
    <row r="468" spans="1:7" hidden="1" x14ac:dyDescent="0.35">
      <c r="A468" t="s">
        <v>316</v>
      </c>
      <c r="B468" t="s">
        <v>226</v>
      </c>
      <c r="C468" t="s">
        <v>249</v>
      </c>
      <c r="D468" t="s">
        <v>30</v>
      </c>
      <c r="E468" t="s">
        <v>325</v>
      </c>
      <c r="F468" t="s">
        <v>16</v>
      </c>
      <c r="G468">
        <v>1</v>
      </c>
    </row>
    <row r="469" spans="1:7" hidden="1" x14ac:dyDescent="0.35">
      <c r="A469" t="s">
        <v>316</v>
      </c>
      <c r="B469" t="s">
        <v>226</v>
      </c>
      <c r="C469" t="s">
        <v>249</v>
      </c>
      <c r="D469" t="s">
        <v>30</v>
      </c>
      <c r="E469" t="s">
        <v>50</v>
      </c>
      <c r="F469" t="s">
        <v>51</v>
      </c>
      <c r="G469">
        <v>24</v>
      </c>
    </row>
    <row r="470" spans="1:7" hidden="1" x14ac:dyDescent="0.35">
      <c r="A470" t="s">
        <v>316</v>
      </c>
      <c r="B470" t="s">
        <v>226</v>
      </c>
      <c r="C470" t="s">
        <v>249</v>
      </c>
      <c r="D470" t="s">
        <v>30</v>
      </c>
      <c r="E470" t="s">
        <v>52</v>
      </c>
      <c r="F470" t="s">
        <v>53</v>
      </c>
      <c r="G470">
        <v>26</v>
      </c>
    </row>
    <row r="471" spans="1:7" hidden="1" x14ac:dyDescent="0.35">
      <c r="A471" t="s">
        <v>316</v>
      </c>
      <c r="B471" t="s">
        <v>226</v>
      </c>
      <c r="C471" t="s">
        <v>249</v>
      </c>
      <c r="D471" t="s">
        <v>30</v>
      </c>
      <c r="E471" t="s">
        <v>54</v>
      </c>
      <c r="F471" t="s">
        <v>55</v>
      </c>
      <c r="G471">
        <v>39</v>
      </c>
    </row>
    <row r="472" spans="1:7" hidden="1" x14ac:dyDescent="0.35">
      <c r="A472" t="s">
        <v>316</v>
      </c>
      <c r="B472" t="s">
        <v>226</v>
      </c>
      <c r="C472" t="s">
        <v>249</v>
      </c>
      <c r="D472" t="s">
        <v>30</v>
      </c>
      <c r="E472" t="s">
        <v>243</v>
      </c>
      <c r="F472" t="s">
        <v>244</v>
      </c>
      <c r="G472">
        <v>10</v>
      </c>
    </row>
    <row r="473" spans="1:7" hidden="1" x14ac:dyDescent="0.35">
      <c r="A473" t="s">
        <v>326</v>
      </c>
      <c r="B473" t="s">
        <v>36</v>
      </c>
      <c r="C473" t="s">
        <v>249</v>
      </c>
      <c r="D473" t="s">
        <v>10</v>
      </c>
      <c r="E473" t="s">
        <v>40</v>
      </c>
      <c r="F473" t="s">
        <v>41</v>
      </c>
      <c r="G473">
        <v>47</v>
      </c>
    </row>
    <row r="474" spans="1:7" hidden="1" x14ac:dyDescent="0.35">
      <c r="A474" t="s">
        <v>326</v>
      </c>
      <c r="B474" t="s">
        <v>36</v>
      </c>
      <c r="C474" t="s">
        <v>249</v>
      </c>
      <c r="D474" t="s">
        <v>10</v>
      </c>
      <c r="E474" t="s">
        <v>42</v>
      </c>
      <c r="F474" t="s">
        <v>43</v>
      </c>
      <c r="G474">
        <v>43</v>
      </c>
    </row>
    <row r="475" spans="1:7" hidden="1" x14ac:dyDescent="0.35">
      <c r="A475" t="s">
        <v>326</v>
      </c>
      <c r="B475" t="s">
        <v>36</v>
      </c>
      <c r="C475" t="s">
        <v>249</v>
      </c>
      <c r="D475" t="s">
        <v>10</v>
      </c>
      <c r="E475" t="s">
        <v>304</v>
      </c>
      <c r="F475" t="s">
        <v>305</v>
      </c>
      <c r="G475">
        <v>6</v>
      </c>
    </row>
    <row r="476" spans="1:7" hidden="1" x14ac:dyDescent="0.35">
      <c r="A476" t="s">
        <v>326</v>
      </c>
      <c r="B476" t="s">
        <v>36</v>
      </c>
      <c r="C476" t="s">
        <v>249</v>
      </c>
      <c r="D476" t="s">
        <v>10</v>
      </c>
      <c r="E476" t="s">
        <v>17</v>
      </c>
      <c r="F476" t="s">
        <v>18</v>
      </c>
      <c r="G476">
        <v>40</v>
      </c>
    </row>
    <row r="477" spans="1:7" hidden="1" x14ac:dyDescent="0.35">
      <c r="A477" t="s">
        <v>326</v>
      </c>
      <c r="B477" t="s">
        <v>36</v>
      </c>
      <c r="C477" t="s">
        <v>249</v>
      </c>
      <c r="D477" t="s">
        <v>10</v>
      </c>
      <c r="E477" t="s">
        <v>19</v>
      </c>
      <c r="F477" t="s">
        <v>20</v>
      </c>
      <c r="G477">
        <v>46</v>
      </c>
    </row>
    <row r="478" spans="1:7" hidden="1" x14ac:dyDescent="0.35">
      <c r="A478" t="s">
        <v>326</v>
      </c>
      <c r="B478" t="s">
        <v>36</v>
      </c>
      <c r="C478" t="s">
        <v>249</v>
      </c>
      <c r="D478" t="s">
        <v>21</v>
      </c>
      <c r="E478" t="s">
        <v>22</v>
      </c>
      <c r="F478" t="s">
        <v>23</v>
      </c>
      <c r="G478">
        <v>36</v>
      </c>
    </row>
    <row r="479" spans="1:7" hidden="1" x14ac:dyDescent="0.35">
      <c r="A479" t="s">
        <v>326</v>
      </c>
      <c r="B479" t="s">
        <v>36</v>
      </c>
      <c r="C479" t="s">
        <v>249</v>
      </c>
      <c r="D479" t="s">
        <v>21</v>
      </c>
      <c r="E479" t="s">
        <v>308</v>
      </c>
      <c r="F479" t="s">
        <v>309</v>
      </c>
      <c r="G479">
        <v>2</v>
      </c>
    </row>
    <row r="480" spans="1:7" hidden="1" x14ac:dyDescent="0.35">
      <c r="A480" t="s">
        <v>326</v>
      </c>
      <c r="B480" t="s">
        <v>36</v>
      </c>
      <c r="C480" t="s">
        <v>249</v>
      </c>
      <c r="D480" t="s">
        <v>21</v>
      </c>
      <c r="E480" t="s">
        <v>26</v>
      </c>
      <c r="F480" t="s">
        <v>27</v>
      </c>
      <c r="G480">
        <v>21</v>
      </c>
    </row>
    <row r="481" spans="1:7" hidden="1" x14ac:dyDescent="0.35">
      <c r="A481" t="s">
        <v>326</v>
      </c>
      <c r="B481" t="s">
        <v>36</v>
      </c>
      <c r="C481" t="s">
        <v>249</v>
      </c>
      <c r="D481" t="s">
        <v>21</v>
      </c>
      <c r="E481" t="s">
        <v>327</v>
      </c>
      <c r="F481" t="s">
        <v>328</v>
      </c>
      <c r="G481">
        <v>1</v>
      </c>
    </row>
    <row r="482" spans="1:7" hidden="1" x14ac:dyDescent="0.35">
      <c r="A482" t="s">
        <v>326</v>
      </c>
      <c r="B482" t="s">
        <v>36</v>
      </c>
      <c r="C482" t="s">
        <v>249</v>
      </c>
      <c r="D482" t="s">
        <v>21</v>
      </c>
      <c r="E482" t="s">
        <v>28</v>
      </c>
      <c r="F482" t="s">
        <v>29</v>
      </c>
      <c r="G482">
        <v>28</v>
      </c>
    </row>
    <row r="483" spans="1:7" hidden="1" x14ac:dyDescent="0.35">
      <c r="A483" t="s">
        <v>326</v>
      </c>
      <c r="B483" t="s">
        <v>36</v>
      </c>
      <c r="C483" t="s">
        <v>249</v>
      </c>
      <c r="D483" t="s">
        <v>30</v>
      </c>
      <c r="E483" t="s">
        <v>50</v>
      </c>
      <c r="F483" t="s">
        <v>51</v>
      </c>
      <c r="G483">
        <v>24</v>
      </c>
    </row>
    <row r="484" spans="1:7" hidden="1" x14ac:dyDescent="0.35">
      <c r="A484" t="s">
        <v>326</v>
      </c>
      <c r="B484" t="s">
        <v>36</v>
      </c>
      <c r="C484" t="s">
        <v>249</v>
      </c>
      <c r="D484" t="s">
        <v>30</v>
      </c>
      <c r="E484" t="s">
        <v>52</v>
      </c>
      <c r="F484" t="s">
        <v>53</v>
      </c>
      <c r="G484">
        <v>26</v>
      </c>
    </row>
    <row r="485" spans="1:7" hidden="1" x14ac:dyDescent="0.35">
      <c r="A485" t="s">
        <v>326</v>
      </c>
      <c r="B485" t="s">
        <v>36</v>
      </c>
      <c r="C485" t="s">
        <v>249</v>
      </c>
      <c r="D485" t="s">
        <v>30</v>
      </c>
      <c r="E485" t="s">
        <v>54</v>
      </c>
      <c r="F485" t="s">
        <v>55</v>
      </c>
      <c r="G485">
        <v>39</v>
      </c>
    </row>
    <row r="486" spans="1:7" hidden="1" x14ac:dyDescent="0.35">
      <c r="A486" t="s">
        <v>326</v>
      </c>
      <c r="B486" t="s">
        <v>36</v>
      </c>
      <c r="C486" t="s">
        <v>249</v>
      </c>
      <c r="D486" t="s">
        <v>30</v>
      </c>
      <c r="E486" t="s">
        <v>243</v>
      </c>
      <c r="F486" t="s">
        <v>244</v>
      </c>
      <c r="G486">
        <v>10</v>
      </c>
    </row>
    <row r="487" spans="1:7" hidden="1" x14ac:dyDescent="0.35">
      <c r="A487" t="s">
        <v>329</v>
      </c>
      <c r="B487" t="s">
        <v>8</v>
      </c>
      <c r="C487" t="s">
        <v>330</v>
      </c>
      <c r="D487" t="s">
        <v>10</v>
      </c>
      <c r="E487" t="s">
        <v>40</v>
      </c>
      <c r="F487" t="s">
        <v>41</v>
      </c>
      <c r="G487">
        <v>47</v>
      </c>
    </row>
    <row r="488" spans="1:7" hidden="1" x14ac:dyDescent="0.35">
      <c r="A488" t="s">
        <v>329</v>
      </c>
      <c r="B488" t="s">
        <v>8</v>
      </c>
      <c r="C488" t="s">
        <v>330</v>
      </c>
      <c r="D488" t="s">
        <v>10</v>
      </c>
      <c r="E488" t="s">
        <v>42</v>
      </c>
      <c r="F488" t="s">
        <v>43</v>
      </c>
      <c r="G488">
        <v>43</v>
      </c>
    </row>
    <row r="489" spans="1:7" hidden="1" x14ac:dyDescent="0.35">
      <c r="A489" t="s">
        <v>329</v>
      </c>
      <c r="B489" t="s">
        <v>8</v>
      </c>
      <c r="C489" t="s">
        <v>330</v>
      </c>
      <c r="D489" t="s">
        <v>10</v>
      </c>
      <c r="E489" t="s">
        <v>331</v>
      </c>
      <c r="F489" t="s">
        <v>332</v>
      </c>
      <c r="G489">
        <v>1</v>
      </c>
    </row>
    <row r="490" spans="1:7" hidden="1" x14ac:dyDescent="0.35">
      <c r="A490" t="s">
        <v>329</v>
      </c>
      <c r="B490" t="s">
        <v>8</v>
      </c>
      <c r="C490" t="s">
        <v>330</v>
      </c>
      <c r="D490" t="s">
        <v>10</v>
      </c>
      <c r="E490" t="s">
        <v>15</v>
      </c>
      <c r="F490" t="s">
        <v>16</v>
      </c>
      <c r="G490">
        <v>11</v>
      </c>
    </row>
    <row r="491" spans="1:7" hidden="1" x14ac:dyDescent="0.35">
      <c r="A491" t="s">
        <v>329</v>
      </c>
      <c r="B491" t="s">
        <v>8</v>
      </c>
      <c r="C491" t="s">
        <v>330</v>
      </c>
      <c r="D491" t="s">
        <v>10</v>
      </c>
      <c r="E491" t="s">
        <v>17</v>
      </c>
      <c r="F491" t="s">
        <v>18</v>
      </c>
      <c r="G491">
        <v>40</v>
      </c>
    </row>
    <row r="492" spans="1:7" hidden="1" x14ac:dyDescent="0.35">
      <c r="A492" t="s">
        <v>329</v>
      </c>
      <c r="B492" t="s">
        <v>8</v>
      </c>
      <c r="C492" t="s">
        <v>330</v>
      </c>
      <c r="D492" t="s">
        <v>10</v>
      </c>
      <c r="E492" t="s">
        <v>19</v>
      </c>
      <c r="F492" t="s">
        <v>20</v>
      </c>
      <c r="G492">
        <v>46</v>
      </c>
    </row>
    <row r="493" spans="1:7" hidden="1" x14ac:dyDescent="0.35">
      <c r="A493" t="s">
        <v>329</v>
      </c>
      <c r="B493" t="s">
        <v>8</v>
      </c>
      <c r="C493" t="s">
        <v>330</v>
      </c>
      <c r="D493" t="s">
        <v>21</v>
      </c>
      <c r="E493" t="s">
        <v>22</v>
      </c>
      <c r="F493" t="s">
        <v>23</v>
      </c>
      <c r="G493">
        <v>36</v>
      </c>
    </row>
    <row r="494" spans="1:7" hidden="1" x14ac:dyDescent="0.35">
      <c r="A494" t="s">
        <v>329</v>
      </c>
      <c r="B494" t="s">
        <v>8</v>
      </c>
      <c r="C494" t="s">
        <v>330</v>
      </c>
      <c r="D494" t="s">
        <v>21</v>
      </c>
      <c r="E494" t="s">
        <v>44</v>
      </c>
      <c r="F494" t="s">
        <v>45</v>
      </c>
      <c r="G494">
        <v>32</v>
      </c>
    </row>
    <row r="495" spans="1:7" hidden="1" x14ac:dyDescent="0.35">
      <c r="A495" t="s">
        <v>329</v>
      </c>
      <c r="B495" t="s">
        <v>8</v>
      </c>
      <c r="C495" t="s">
        <v>330</v>
      </c>
      <c r="D495" t="s">
        <v>21</v>
      </c>
      <c r="E495" t="s">
        <v>68</v>
      </c>
      <c r="F495" t="s">
        <v>69</v>
      </c>
      <c r="G495">
        <v>13</v>
      </c>
    </row>
    <row r="496" spans="1:7" hidden="1" x14ac:dyDescent="0.35">
      <c r="A496" t="s">
        <v>329</v>
      </c>
      <c r="B496" t="s">
        <v>8</v>
      </c>
      <c r="C496" t="s">
        <v>330</v>
      </c>
      <c r="D496" t="s">
        <v>21</v>
      </c>
      <c r="E496" t="s">
        <v>28</v>
      </c>
      <c r="F496" t="s">
        <v>29</v>
      </c>
      <c r="G496">
        <v>28</v>
      </c>
    </row>
    <row r="497" spans="1:7" hidden="1" x14ac:dyDescent="0.35">
      <c r="A497" t="s">
        <v>329</v>
      </c>
      <c r="B497" t="s">
        <v>8</v>
      </c>
      <c r="C497" t="s">
        <v>330</v>
      </c>
      <c r="D497" t="s">
        <v>30</v>
      </c>
      <c r="E497" t="s">
        <v>333</v>
      </c>
      <c r="F497" t="s">
        <v>305</v>
      </c>
      <c r="G497">
        <v>1</v>
      </c>
    </row>
    <row r="498" spans="1:7" hidden="1" x14ac:dyDescent="0.35">
      <c r="A498" t="s">
        <v>329</v>
      </c>
      <c r="B498" t="s">
        <v>8</v>
      </c>
      <c r="C498" t="s">
        <v>330</v>
      </c>
      <c r="D498" t="s">
        <v>30</v>
      </c>
      <c r="E498" t="s">
        <v>50</v>
      </c>
      <c r="F498" t="s">
        <v>51</v>
      </c>
      <c r="G498">
        <v>24</v>
      </c>
    </row>
    <row r="499" spans="1:7" hidden="1" x14ac:dyDescent="0.35">
      <c r="A499" t="s">
        <v>329</v>
      </c>
      <c r="B499" t="s">
        <v>8</v>
      </c>
      <c r="C499" t="s">
        <v>330</v>
      </c>
      <c r="D499" t="s">
        <v>30</v>
      </c>
      <c r="E499" t="s">
        <v>52</v>
      </c>
      <c r="F499" t="s">
        <v>53</v>
      </c>
      <c r="G499">
        <v>26</v>
      </c>
    </row>
    <row r="500" spans="1:7" hidden="1" x14ac:dyDescent="0.35">
      <c r="A500" t="s">
        <v>329</v>
      </c>
      <c r="B500" t="s">
        <v>8</v>
      </c>
      <c r="C500" t="s">
        <v>330</v>
      </c>
      <c r="D500" t="s">
        <v>30</v>
      </c>
      <c r="E500" t="s">
        <v>54</v>
      </c>
      <c r="F500" t="s">
        <v>55</v>
      </c>
      <c r="G500">
        <v>39</v>
      </c>
    </row>
    <row r="501" spans="1:7" hidden="1" x14ac:dyDescent="0.35">
      <c r="A501" t="s">
        <v>334</v>
      </c>
      <c r="B501" t="s">
        <v>8</v>
      </c>
      <c r="C501" t="s">
        <v>330</v>
      </c>
      <c r="D501" t="s">
        <v>10</v>
      </c>
      <c r="E501" t="s">
        <v>40</v>
      </c>
      <c r="F501" t="s">
        <v>41</v>
      </c>
      <c r="G501">
        <v>47</v>
      </c>
    </row>
    <row r="502" spans="1:7" hidden="1" x14ac:dyDescent="0.35">
      <c r="A502" t="s">
        <v>334</v>
      </c>
      <c r="B502" t="s">
        <v>8</v>
      </c>
      <c r="C502" t="s">
        <v>330</v>
      </c>
      <c r="D502" t="s">
        <v>10</v>
      </c>
      <c r="E502" t="s">
        <v>42</v>
      </c>
      <c r="F502" t="s">
        <v>43</v>
      </c>
      <c r="G502">
        <v>43</v>
      </c>
    </row>
    <row r="503" spans="1:7" hidden="1" x14ac:dyDescent="0.35">
      <c r="A503" t="s">
        <v>334</v>
      </c>
      <c r="B503" t="s">
        <v>8</v>
      </c>
      <c r="C503" t="s">
        <v>330</v>
      </c>
      <c r="D503" t="s">
        <v>10</v>
      </c>
      <c r="E503" t="s">
        <v>304</v>
      </c>
      <c r="F503" t="s">
        <v>305</v>
      </c>
      <c r="G503">
        <v>6</v>
      </c>
    </row>
    <row r="504" spans="1:7" hidden="1" x14ac:dyDescent="0.35">
      <c r="A504" t="s">
        <v>334</v>
      </c>
      <c r="B504" t="s">
        <v>8</v>
      </c>
      <c r="C504" t="s">
        <v>330</v>
      </c>
      <c r="D504" t="s">
        <v>10</v>
      </c>
      <c r="E504" t="s">
        <v>315</v>
      </c>
      <c r="F504" t="s">
        <v>51</v>
      </c>
      <c r="G504">
        <v>2</v>
      </c>
    </row>
    <row r="505" spans="1:7" hidden="1" x14ac:dyDescent="0.35">
      <c r="A505" t="s">
        <v>334</v>
      </c>
      <c r="B505" t="s">
        <v>8</v>
      </c>
      <c r="C505" t="s">
        <v>330</v>
      </c>
      <c r="D505" t="s">
        <v>10</v>
      </c>
      <c r="E505" t="s">
        <v>17</v>
      </c>
      <c r="F505" t="s">
        <v>18</v>
      </c>
      <c r="G505">
        <v>40</v>
      </c>
    </row>
    <row r="506" spans="1:7" hidden="1" x14ac:dyDescent="0.35">
      <c r="A506" t="s">
        <v>334</v>
      </c>
      <c r="B506" t="s">
        <v>8</v>
      </c>
      <c r="C506" t="s">
        <v>330</v>
      </c>
      <c r="D506" t="s">
        <v>10</v>
      </c>
      <c r="E506" t="s">
        <v>19</v>
      </c>
      <c r="F506" t="s">
        <v>20</v>
      </c>
      <c r="G506">
        <v>46</v>
      </c>
    </row>
    <row r="507" spans="1:7" hidden="1" x14ac:dyDescent="0.35">
      <c r="A507" t="s">
        <v>334</v>
      </c>
      <c r="B507" t="s">
        <v>8</v>
      </c>
      <c r="C507" t="s">
        <v>330</v>
      </c>
      <c r="D507" t="s">
        <v>21</v>
      </c>
      <c r="E507" t="s">
        <v>22</v>
      </c>
      <c r="F507" t="s">
        <v>23</v>
      </c>
      <c r="G507">
        <v>36</v>
      </c>
    </row>
    <row r="508" spans="1:7" hidden="1" x14ac:dyDescent="0.35">
      <c r="A508" t="s">
        <v>334</v>
      </c>
      <c r="B508" t="s">
        <v>8</v>
      </c>
      <c r="C508" t="s">
        <v>330</v>
      </c>
      <c r="D508" t="s">
        <v>21</v>
      </c>
      <c r="E508" t="s">
        <v>335</v>
      </c>
      <c r="F508" t="s">
        <v>336</v>
      </c>
      <c r="G508">
        <v>1</v>
      </c>
    </row>
    <row r="509" spans="1:7" hidden="1" x14ac:dyDescent="0.35">
      <c r="A509" t="s">
        <v>334</v>
      </c>
      <c r="B509" t="s">
        <v>8</v>
      </c>
      <c r="C509" t="s">
        <v>330</v>
      </c>
      <c r="D509" t="s">
        <v>21</v>
      </c>
      <c r="E509" t="s">
        <v>44</v>
      </c>
      <c r="F509" t="s">
        <v>45</v>
      </c>
      <c r="G509">
        <v>32</v>
      </c>
    </row>
    <row r="510" spans="1:7" hidden="1" x14ac:dyDescent="0.35">
      <c r="A510" t="s">
        <v>334</v>
      </c>
      <c r="B510" t="s">
        <v>8</v>
      </c>
      <c r="C510" t="s">
        <v>330</v>
      </c>
      <c r="D510" t="s">
        <v>21</v>
      </c>
      <c r="E510" t="s">
        <v>68</v>
      </c>
      <c r="F510" t="s">
        <v>69</v>
      </c>
      <c r="G510">
        <v>13</v>
      </c>
    </row>
    <row r="511" spans="1:7" hidden="1" x14ac:dyDescent="0.35">
      <c r="A511" t="s">
        <v>334</v>
      </c>
      <c r="B511" t="s">
        <v>8</v>
      </c>
      <c r="C511" t="s">
        <v>330</v>
      </c>
      <c r="D511" t="s">
        <v>21</v>
      </c>
      <c r="E511" t="s">
        <v>28</v>
      </c>
      <c r="F511" t="s">
        <v>29</v>
      </c>
      <c r="G511">
        <v>28</v>
      </c>
    </row>
    <row r="512" spans="1:7" hidden="1" x14ac:dyDescent="0.35">
      <c r="A512" t="s">
        <v>334</v>
      </c>
      <c r="B512" t="s">
        <v>8</v>
      </c>
      <c r="C512" t="s">
        <v>330</v>
      </c>
      <c r="D512" t="s">
        <v>30</v>
      </c>
      <c r="E512" t="s">
        <v>337</v>
      </c>
      <c r="F512" t="s">
        <v>251</v>
      </c>
      <c r="G512">
        <v>1</v>
      </c>
    </row>
    <row r="513" spans="1:7" hidden="1" x14ac:dyDescent="0.35">
      <c r="A513" t="s">
        <v>334</v>
      </c>
      <c r="B513" t="s">
        <v>8</v>
      </c>
      <c r="C513" t="s">
        <v>330</v>
      </c>
      <c r="D513" t="s">
        <v>30</v>
      </c>
      <c r="E513" t="s">
        <v>52</v>
      </c>
      <c r="F513" t="s">
        <v>53</v>
      </c>
      <c r="G513">
        <v>26</v>
      </c>
    </row>
    <row r="514" spans="1:7" hidden="1" x14ac:dyDescent="0.35">
      <c r="A514" t="s">
        <v>334</v>
      </c>
      <c r="B514" t="s">
        <v>8</v>
      </c>
      <c r="C514" t="s">
        <v>330</v>
      </c>
      <c r="D514" t="s">
        <v>30</v>
      </c>
      <c r="E514" t="s">
        <v>54</v>
      </c>
      <c r="F514" t="s">
        <v>55</v>
      </c>
      <c r="G514">
        <v>39</v>
      </c>
    </row>
    <row r="515" spans="1:7" hidden="1" x14ac:dyDescent="0.35">
      <c r="A515" t="s">
        <v>338</v>
      </c>
      <c r="B515" t="s">
        <v>62</v>
      </c>
      <c r="C515" t="s">
        <v>330</v>
      </c>
      <c r="D515" t="s">
        <v>10</v>
      </c>
      <c r="E515" t="s">
        <v>40</v>
      </c>
      <c r="F515" t="s">
        <v>41</v>
      </c>
      <c r="G515">
        <v>47</v>
      </c>
    </row>
    <row r="516" spans="1:7" hidden="1" x14ac:dyDescent="0.35">
      <c r="A516" t="s">
        <v>338</v>
      </c>
      <c r="B516" t="s">
        <v>62</v>
      </c>
      <c r="C516" t="s">
        <v>330</v>
      </c>
      <c r="D516" t="s">
        <v>10</v>
      </c>
      <c r="E516" t="s">
        <v>42</v>
      </c>
      <c r="F516" t="s">
        <v>43</v>
      </c>
      <c r="G516">
        <v>43</v>
      </c>
    </row>
    <row r="517" spans="1:7" hidden="1" x14ac:dyDescent="0.35">
      <c r="A517" t="s">
        <v>338</v>
      </c>
      <c r="B517" t="s">
        <v>62</v>
      </c>
      <c r="C517" t="s">
        <v>330</v>
      </c>
      <c r="D517" t="s">
        <v>10</v>
      </c>
      <c r="E517" t="s">
        <v>339</v>
      </c>
      <c r="F517" t="s">
        <v>340</v>
      </c>
      <c r="G517">
        <v>1</v>
      </c>
    </row>
    <row r="518" spans="1:7" hidden="1" x14ac:dyDescent="0.35">
      <c r="A518" t="s">
        <v>338</v>
      </c>
      <c r="B518" t="s">
        <v>62</v>
      </c>
      <c r="C518" t="s">
        <v>330</v>
      </c>
      <c r="D518" t="s">
        <v>10</v>
      </c>
      <c r="E518" t="s">
        <v>341</v>
      </c>
      <c r="F518" t="s">
        <v>255</v>
      </c>
      <c r="G518">
        <v>9</v>
      </c>
    </row>
    <row r="519" spans="1:7" hidden="1" x14ac:dyDescent="0.35">
      <c r="A519" t="s">
        <v>338</v>
      </c>
      <c r="B519" t="s">
        <v>62</v>
      </c>
      <c r="C519" t="s">
        <v>330</v>
      </c>
      <c r="D519" t="s">
        <v>21</v>
      </c>
      <c r="E519" t="s">
        <v>342</v>
      </c>
      <c r="F519" t="s">
        <v>343</v>
      </c>
      <c r="G519">
        <v>3</v>
      </c>
    </row>
    <row r="520" spans="1:7" hidden="1" x14ac:dyDescent="0.35">
      <c r="A520" t="s">
        <v>338</v>
      </c>
      <c r="B520" t="s">
        <v>62</v>
      </c>
      <c r="C520" t="s">
        <v>330</v>
      </c>
      <c r="D520" t="s">
        <v>21</v>
      </c>
      <c r="E520" t="s">
        <v>68</v>
      </c>
      <c r="F520" t="s">
        <v>69</v>
      </c>
      <c r="G520">
        <v>13</v>
      </c>
    </row>
    <row r="521" spans="1:7" hidden="1" x14ac:dyDescent="0.35">
      <c r="A521" t="s">
        <v>338</v>
      </c>
      <c r="B521" t="s">
        <v>62</v>
      </c>
      <c r="C521" t="s">
        <v>330</v>
      </c>
      <c r="D521" t="s">
        <v>30</v>
      </c>
      <c r="E521" t="s">
        <v>344</v>
      </c>
      <c r="F521" t="s">
        <v>345</v>
      </c>
      <c r="G521">
        <v>1</v>
      </c>
    </row>
    <row r="522" spans="1:7" hidden="1" x14ac:dyDescent="0.35">
      <c r="A522" t="s">
        <v>338</v>
      </c>
      <c r="B522" t="s">
        <v>62</v>
      </c>
      <c r="C522" t="s">
        <v>330</v>
      </c>
      <c r="D522" t="s">
        <v>30</v>
      </c>
      <c r="E522" t="s">
        <v>346</v>
      </c>
      <c r="F522" t="s">
        <v>332</v>
      </c>
      <c r="G522">
        <v>10</v>
      </c>
    </row>
    <row r="523" spans="1:7" hidden="1" x14ac:dyDescent="0.35">
      <c r="A523" t="s">
        <v>338</v>
      </c>
      <c r="B523" t="s">
        <v>62</v>
      </c>
      <c r="C523" t="s">
        <v>330</v>
      </c>
      <c r="D523" t="s">
        <v>30</v>
      </c>
      <c r="E523" t="s">
        <v>50</v>
      </c>
      <c r="F523" t="s">
        <v>51</v>
      </c>
      <c r="G523">
        <v>24</v>
      </c>
    </row>
    <row r="524" spans="1:7" hidden="1" x14ac:dyDescent="0.35">
      <c r="A524" t="s">
        <v>338</v>
      </c>
      <c r="B524" t="s">
        <v>62</v>
      </c>
      <c r="C524" t="s">
        <v>330</v>
      </c>
      <c r="D524" t="s">
        <v>30</v>
      </c>
      <c r="E524" t="s">
        <v>54</v>
      </c>
      <c r="F524" t="s">
        <v>55</v>
      </c>
      <c r="G524">
        <v>39</v>
      </c>
    </row>
    <row r="525" spans="1:7" hidden="1" x14ac:dyDescent="0.35">
      <c r="A525" t="s">
        <v>347</v>
      </c>
      <c r="B525" t="s">
        <v>62</v>
      </c>
      <c r="C525" t="s">
        <v>330</v>
      </c>
      <c r="D525" t="s">
        <v>10</v>
      </c>
      <c r="E525" t="s">
        <v>40</v>
      </c>
      <c r="F525" t="s">
        <v>41</v>
      </c>
      <c r="G525">
        <v>47</v>
      </c>
    </row>
    <row r="526" spans="1:7" hidden="1" x14ac:dyDescent="0.35">
      <c r="A526" t="s">
        <v>347</v>
      </c>
      <c r="B526" t="s">
        <v>62</v>
      </c>
      <c r="C526" t="s">
        <v>330</v>
      </c>
      <c r="D526" t="s">
        <v>10</v>
      </c>
      <c r="E526" t="s">
        <v>42</v>
      </c>
      <c r="F526" t="s">
        <v>43</v>
      </c>
      <c r="G526">
        <v>43</v>
      </c>
    </row>
    <row r="527" spans="1:7" hidden="1" x14ac:dyDescent="0.35">
      <c r="A527" t="s">
        <v>347</v>
      </c>
      <c r="B527" t="s">
        <v>62</v>
      </c>
      <c r="C527" t="s">
        <v>330</v>
      </c>
      <c r="D527" t="s">
        <v>10</v>
      </c>
      <c r="E527" t="s">
        <v>341</v>
      </c>
      <c r="F527" t="s">
        <v>255</v>
      </c>
      <c r="G527">
        <v>9</v>
      </c>
    </row>
    <row r="528" spans="1:7" hidden="1" x14ac:dyDescent="0.35">
      <c r="A528" t="s">
        <v>347</v>
      </c>
      <c r="B528" t="s">
        <v>62</v>
      </c>
      <c r="C528" t="s">
        <v>330</v>
      </c>
      <c r="D528" t="s">
        <v>10</v>
      </c>
      <c r="E528" t="s">
        <v>19</v>
      </c>
      <c r="F528" t="s">
        <v>20</v>
      </c>
      <c r="G528">
        <v>46</v>
      </c>
    </row>
    <row r="529" spans="1:7" hidden="1" x14ac:dyDescent="0.35">
      <c r="A529" t="s">
        <v>347</v>
      </c>
      <c r="B529" t="s">
        <v>62</v>
      </c>
      <c r="C529" t="s">
        <v>330</v>
      </c>
      <c r="D529" t="s">
        <v>21</v>
      </c>
      <c r="E529" t="s">
        <v>44</v>
      </c>
      <c r="F529" t="s">
        <v>45</v>
      </c>
      <c r="G529">
        <v>32</v>
      </c>
    </row>
    <row r="530" spans="1:7" hidden="1" x14ac:dyDescent="0.35">
      <c r="A530" t="s">
        <v>347</v>
      </c>
      <c r="B530" t="s">
        <v>62</v>
      </c>
      <c r="C530" t="s">
        <v>330</v>
      </c>
      <c r="D530" t="s">
        <v>21</v>
      </c>
      <c r="E530" t="s">
        <v>348</v>
      </c>
      <c r="F530" t="s">
        <v>349</v>
      </c>
      <c r="G530">
        <v>1</v>
      </c>
    </row>
    <row r="531" spans="1:7" hidden="1" x14ac:dyDescent="0.35">
      <c r="A531" t="s">
        <v>347</v>
      </c>
      <c r="B531" t="s">
        <v>62</v>
      </c>
      <c r="C531" t="s">
        <v>330</v>
      </c>
      <c r="D531" t="s">
        <v>30</v>
      </c>
      <c r="E531" t="s">
        <v>346</v>
      </c>
      <c r="F531" t="s">
        <v>332</v>
      </c>
      <c r="G531">
        <v>10</v>
      </c>
    </row>
    <row r="532" spans="1:7" hidden="1" x14ac:dyDescent="0.35">
      <c r="A532" t="s">
        <v>347</v>
      </c>
      <c r="B532" t="s">
        <v>62</v>
      </c>
      <c r="C532" t="s">
        <v>330</v>
      </c>
      <c r="D532" t="s">
        <v>30</v>
      </c>
      <c r="E532" t="s">
        <v>50</v>
      </c>
      <c r="F532" t="s">
        <v>51</v>
      </c>
      <c r="G532">
        <v>24</v>
      </c>
    </row>
    <row r="533" spans="1:7" hidden="1" x14ac:dyDescent="0.35">
      <c r="A533" t="s">
        <v>347</v>
      </c>
      <c r="B533" t="s">
        <v>62</v>
      </c>
      <c r="C533" t="s">
        <v>330</v>
      </c>
      <c r="D533" t="s">
        <v>30</v>
      </c>
      <c r="E533" t="s">
        <v>52</v>
      </c>
      <c r="F533" t="s">
        <v>53</v>
      </c>
      <c r="G533">
        <v>26</v>
      </c>
    </row>
    <row r="534" spans="1:7" hidden="1" x14ac:dyDescent="0.35">
      <c r="A534" t="s">
        <v>347</v>
      </c>
      <c r="B534" t="s">
        <v>62</v>
      </c>
      <c r="C534" t="s">
        <v>330</v>
      </c>
      <c r="D534" t="s">
        <v>30</v>
      </c>
      <c r="E534" t="s">
        <v>54</v>
      </c>
      <c r="F534" t="s">
        <v>55</v>
      </c>
      <c r="G534">
        <v>39</v>
      </c>
    </row>
    <row r="535" spans="1:7" hidden="1" x14ac:dyDescent="0.35">
      <c r="A535" t="s">
        <v>350</v>
      </c>
      <c r="B535" t="s">
        <v>89</v>
      </c>
      <c r="C535" t="s">
        <v>330</v>
      </c>
      <c r="D535" t="s">
        <v>10</v>
      </c>
      <c r="E535" t="s">
        <v>40</v>
      </c>
      <c r="F535" t="s">
        <v>41</v>
      </c>
      <c r="G535">
        <v>47</v>
      </c>
    </row>
    <row r="536" spans="1:7" hidden="1" x14ac:dyDescent="0.35">
      <c r="A536" t="s">
        <v>350</v>
      </c>
      <c r="B536" t="s">
        <v>89</v>
      </c>
      <c r="C536" t="s">
        <v>330</v>
      </c>
      <c r="D536" t="s">
        <v>10</v>
      </c>
      <c r="E536" t="s">
        <v>42</v>
      </c>
      <c r="F536" t="s">
        <v>43</v>
      </c>
      <c r="G536">
        <v>43</v>
      </c>
    </row>
    <row r="537" spans="1:7" hidden="1" x14ac:dyDescent="0.35">
      <c r="A537" t="s">
        <v>350</v>
      </c>
      <c r="B537" t="s">
        <v>89</v>
      </c>
      <c r="C537" t="s">
        <v>330</v>
      </c>
      <c r="D537" t="s">
        <v>10</v>
      </c>
      <c r="E537" t="s">
        <v>341</v>
      </c>
      <c r="F537" t="s">
        <v>255</v>
      </c>
      <c r="G537">
        <v>9</v>
      </c>
    </row>
    <row r="538" spans="1:7" hidden="1" x14ac:dyDescent="0.35">
      <c r="A538" t="s">
        <v>350</v>
      </c>
      <c r="B538" t="s">
        <v>89</v>
      </c>
      <c r="C538" t="s">
        <v>330</v>
      </c>
      <c r="D538" t="s">
        <v>10</v>
      </c>
      <c r="E538" t="s">
        <v>19</v>
      </c>
      <c r="F538" t="s">
        <v>20</v>
      </c>
      <c r="G538">
        <v>46</v>
      </c>
    </row>
    <row r="539" spans="1:7" hidden="1" x14ac:dyDescent="0.35">
      <c r="A539" t="s">
        <v>350</v>
      </c>
      <c r="B539" t="s">
        <v>89</v>
      </c>
      <c r="C539" t="s">
        <v>330</v>
      </c>
      <c r="D539" t="s">
        <v>21</v>
      </c>
      <c r="E539" t="s">
        <v>44</v>
      </c>
      <c r="F539" t="s">
        <v>45</v>
      </c>
      <c r="G539">
        <v>32</v>
      </c>
    </row>
    <row r="540" spans="1:7" hidden="1" x14ac:dyDescent="0.35">
      <c r="A540" t="s">
        <v>350</v>
      </c>
      <c r="B540" t="s">
        <v>89</v>
      </c>
      <c r="C540" t="s">
        <v>330</v>
      </c>
      <c r="D540" t="s">
        <v>21</v>
      </c>
      <c r="E540" t="s">
        <v>128</v>
      </c>
      <c r="F540" t="s">
        <v>129</v>
      </c>
      <c r="G540">
        <v>2</v>
      </c>
    </row>
    <row r="541" spans="1:7" hidden="1" x14ac:dyDescent="0.35">
      <c r="A541" t="s">
        <v>350</v>
      </c>
      <c r="B541" t="s">
        <v>89</v>
      </c>
      <c r="C541" t="s">
        <v>330</v>
      </c>
      <c r="D541" t="s">
        <v>21</v>
      </c>
      <c r="E541" t="s">
        <v>108</v>
      </c>
      <c r="F541" t="s">
        <v>109</v>
      </c>
      <c r="G541">
        <v>13</v>
      </c>
    </row>
    <row r="542" spans="1:7" hidden="1" x14ac:dyDescent="0.35">
      <c r="A542" t="s">
        <v>350</v>
      </c>
      <c r="B542" t="s">
        <v>89</v>
      </c>
      <c r="C542" t="s">
        <v>330</v>
      </c>
      <c r="D542" t="s">
        <v>21</v>
      </c>
      <c r="E542" t="s">
        <v>130</v>
      </c>
      <c r="F542" t="s">
        <v>131</v>
      </c>
      <c r="G542">
        <v>2</v>
      </c>
    </row>
    <row r="543" spans="1:7" hidden="1" x14ac:dyDescent="0.35">
      <c r="A543" t="s">
        <v>350</v>
      </c>
      <c r="B543" t="s">
        <v>89</v>
      </c>
      <c r="C543" t="s">
        <v>330</v>
      </c>
      <c r="D543" t="s">
        <v>21</v>
      </c>
      <c r="E543" t="s">
        <v>106</v>
      </c>
      <c r="F543" t="s">
        <v>107</v>
      </c>
      <c r="G543">
        <v>3</v>
      </c>
    </row>
    <row r="544" spans="1:7" hidden="1" x14ac:dyDescent="0.35">
      <c r="A544" t="s">
        <v>350</v>
      </c>
      <c r="B544" t="s">
        <v>89</v>
      </c>
      <c r="C544" t="s">
        <v>330</v>
      </c>
      <c r="D544" t="s">
        <v>21</v>
      </c>
      <c r="E544" t="s">
        <v>132</v>
      </c>
      <c r="F544" t="s">
        <v>133</v>
      </c>
      <c r="G544">
        <v>2</v>
      </c>
    </row>
    <row r="545" spans="1:7" hidden="1" x14ac:dyDescent="0.35">
      <c r="A545" t="s">
        <v>350</v>
      </c>
      <c r="B545" t="s">
        <v>89</v>
      </c>
      <c r="C545" t="s">
        <v>330</v>
      </c>
      <c r="D545" t="s">
        <v>30</v>
      </c>
      <c r="E545" t="s">
        <v>346</v>
      </c>
      <c r="F545" t="s">
        <v>332</v>
      </c>
      <c r="G545">
        <v>10</v>
      </c>
    </row>
    <row r="546" spans="1:7" hidden="1" x14ac:dyDescent="0.35">
      <c r="A546" t="s">
        <v>350</v>
      </c>
      <c r="B546" t="s">
        <v>89</v>
      </c>
      <c r="C546" t="s">
        <v>330</v>
      </c>
      <c r="D546" t="s">
        <v>30</v>
      </c>
      <c r="E546" t="s">
        <v>351</v>
      </c>
      <c r="F546" t="s">
        <v>352</v>
      </c>
      <c r="G546">
        <v>1</v>
      </c>
    </row>
    <row r="547" spans="1:7" hidden="1" x14ac:dyDescent="0.35">
      <c r="A547" t="s">
        <v>350</v>
      </c>
      <c r="B547" t="s">
        <v>89</v>
      </c>
      <c r="C547" t="s">
        <v>330</v>
      </c>
      <c r="D547" t="s">
        <v>30</v>
      </c>
      <c r="E547" t="s">
        <v>50</v>
      </c>
      <c r="F547" t="s">
        <v>51</v>
      </c>
      <c r="G547">
        <v>24</v>
      </c>
    </row>
    <row r="548" spans="1:7" hidden="1" x14ac:dyDescent="0.35">
      <c r="A548" t="s">
        <v>350</v>
      </c>
      <c r="B548" t="s">
        <v>89</v>
      </c>
      <c r="C548" t="s">
        <v>330</v>
      </c>
      <c r="D548" t="s">
        <v>30</v>
      </c>
      <c r="E548" t="s">
        <v>52</v>
      </c>
      <c r="F548" t="s">
        <v>53</v>
      </c>
      <c r="G548">
        <v>26</v>
      </c>
    </row>
    <row r="549" spans="1:7" hidden="1" x14ac:dyDescent="0.35">
      <c r="A549" t="s">
        <v>350</v>
      </c>
      <c r="B549" t="s">
        <v>89</v>
      </c>
      <c r="C549" t="s">
        <v>330</v>
      </c>
      <c r="D549" t="s">
        <v>30</v>
      </c>
      <c r="E549" t="s">
        <v>54</v>
      </c>
      <c r="F549" t="s">
        <v>55</v>
      </c>
      <c r="G549">
        <v>39</v>
      </c>
    </row>
    <row r="550" spans="1:7" hidden="1" x14ac:dyDescent="0.35">
      <c r="A550" t="s">
        <v>353</v>
      </c>
      <c r="B550" t="s">
        <v>145</v>
      </c>
      <c r="C550" t="s">
        <v>330</v>
      </c>
      <c r="D550" t="s">
        <v>10</v>
      </c>
      <c r="E550" t="s">
        <v>40</v>
      </c>
      <c r="F550" t="s">
        <v>41</v>
      </c>
      <c r="G550">
        <v>47</v>
      </c>
    </row>
    <row r="551" spans="1:7" hidden="1" x14ac:dyDescent="0.35">
      <c r="A551" t="s">
        <v>353</v>
      </c>
      <c r="B551" t="s">
        <v>145</v>
      </c>
      <c r="C551" t="s">
        <v>330</v>
      </c>
      <c r="D551" t="s">
        <v>10</v>
      </c>
      <c r="E551" t="s">
        <v>42</v>
      </c>
      <c r="F551" t="s">
        <v>43</v>
      </c>
      <c r="G551">
        <v>43</v>
      </c>
    </row>
    <row r="552" spans="1:7" hidden="1" x14ac:dyDescent="0.35">
      <c r="A552" t="s">
        <v>353</v>
      </c>
      <c r="B552" t="s">
        <v>145</v>
      </c>
      <c r="C552" t="s">
        <v>330</v>
      </c>
      <c r="D552" t="s">
        <v>10</v>
      </c>
      <c r="E552" t="s">
        <v>354</v>
      </c>
      <c r="F552" t="s">
        <v>163</v>
      </c>
      <c r="G552">
        <v>1</v>
      </c>
    </row>
    <row r="553" spans="1:7" hidden="1" x14ac:dyDescent="0.35">
      <c r="A553" t="s">
        <v>353</v>
      </c>
      <c r="B553" t="s">
        <v>145</v>
      </c>
      <c r="C553" t="s">
        <v>330</v>
      </c>
      <c r="D553" t="s">
        <v>10</v>
      </c>
      <c r="E553" t="s">
        <v>341</v>
      </c>
      <c r="F553" t="s">
        <v>255</v>
      </c>
      <c r="G553">
        <v>9</v>
      </c>
    </row>
    <row r="554" spans="1:7" hidden="1" x14ac:dyDescent="0.35">
      <c r="A554" t="s">
        <v>353</v>
      </c>
      <c r="B554" t="s">
        <v>145</v>
      </c>
      <c r="C554" t="s">
        <v>330</v>
      </c>
      <c r="D554" t="s">
        <v>10</v>
      </c>
      <c r="E554" t="s">
        <v>19</v>
      </c>
      <c r="F554" t="s">
        <v>20</v>
      </c>
      <c r="G554">
        <v>46</v>
      </c>
    </row>
    <row r="555" spans="1:7" hidden="1" x14ac:dyDescent="0.35">
      <c r="A555" t="s">
        <v>353</v>
      </c>
      <c r="B555" t="s">
        <v>145</v>
      </c>
      <c r="C555" t="s">
        <v>330</v>
      </c>
      <c r="D555" t="s">
        <v>21</v>
      </c>
      <c r="E555" t="s">
        <v>22</v>
      </c>
      <c r="F555" t="s">
        <v>23</v>
      </c>
      <c r="G555">
        <v>36</v>
      </c>
    </row>
    <row r="556" spans="1:7" hidden="1" x14ac:dyDescent="0.35">
      <c r="A556" t="s">
        <v>353</v>
      </c>
      <c r="B556" t="s">
        <v>145</v>
      </c>
      <c r="C556" t="s">
        <v>330</v>
      </c>
      <c r="D556" t="s">
        <v>21</v>
      </c>
      <c r="E556" t="s">
        <v>44</v>
      </c>
      <c r="F556" t="s">
        <v>45</v>
      </c>
      <c r="G556">
        <v>32</v>
      </c>
    </row>
    <row r="557" spans="1:7" hidden="1" x14ac:dyDescent="0.35">
      <c r="A557" t="s">
        <v>353</v>
      </c>
      <c r="B557" t="s">
        <v>145</v>
      </c>
      <c r="C557" t="s">
        <v>330</v>
      </c>
      <c r="D557" t="s">
        <v>21</v>
      </c>
      <c r="E557" t="s">
        <v>355</v>
      </c>
      <c r="F557" t="s">
        <v>356</v>
      </c>
      <c r="G557">
        <v>1</v>
      </c>
    </row>
    <row r="558" spans="1:7" hidden="1" x14ac:dyDescent="0.35">
      <c r="A558" t="s">
        <v>353</v>
      </c>
      <c r="B558" t="s">
        <v>145</v>
      </c>
      <c r="C558" t="s">
        <v>330</v>
      </c>
      <c r="D558" t="s">
        <v>21</v>
      </c>
      <c r="E558" t="s">
        <v>108</v>
      </c>
      <c r="F558" t="s">
        <v>109</v>
      </c>
      <c r="G558">
        <v>13</v>
      </c>
    </row>
    <row r="559" spans="1:7" hidden="1" x14ac:dyDescent="0.35">
      <c r="A559" t="s">
        <v>353</v>
      </c>
      <c r="B559" t="s">
        <v>145</v>
      </c>
      <c r="C559" t="s">
        <v>330</v>
      </c>
      <c r="D559" t="s">
        <v>30</v>
      </c>
      <c r="E559" t="s">
        <v>346</v>
      </c>
      <c r="F559" t="s">
        <v>332</v>
      </c>
      <c r="G559">
        <v>10</v>
      </c>
    </row>
    <row r="560" spans="1:7" hidden="1" x14ac:dyDescent="0.35">
      <c r="A560" t="s">
        <v>353</v>
      </c>
      <c r="B560" t="s">
        <v>145</v>
      </c>
      <c r="C560" t="s">
        <v>330</v>
      </c>
      <c r="D560" t="s">
        <v>30</v>
      </c>
      <c r="E560" t="s">
        <v>357</v>
      </c>
      <c r="F560" t="s">
        <v>358</v>
      </c>
      <c r="G560">
        <v>1</v>
      </c>
    </row>
    <row r="561" spans="1:7" hidden="1" x14ac:dyDescent="0.35">
      <c r="A561" t="s">
        <v>353</v>
      </c>
      <c r="B561" t="s">
        <v>145</v>
      </c>
      <c r="C561" t="s">
        <v>330</v>
      </c>
      <c r="D561" t="s">
        <v>30</v>
      </c>
      <c r="E561" t="s">
        <v>50</v>
      </c>
      <c r="F561" t="s">
        <v>51</v>
      </c>
      <c r="G561">
        <v>24</v>
      </c>
    </row>
    <row r="562" spans="1:7" hidden="1" x14ac:dyDescent="0.35">
      <c r="A562" t="s">
        <v>353</v>
      </c>
      <c r="B562" t="s">
        <v>145</v>
      </c>
      <c r="C562" t="s">
        <v>330</v>
      </c>
      <c r="D562" t="s">
        <v>30</v>
      </c>
      <c r="E562" t="s">
        <v>52</v>
      </c>
      <c r="F562" t="s">
        <v>53</v>
      </c>
      <c r="G562">
        <v>26</v>
      </c>
    </row>
    <row r="563" spans="1:7" hidden="1" x14ac:dyDescent="0.35">
      <c r="A563" t="s">
        <v>353</v>
      </c>
      <c r="B563" t="s">
        <v>145</v>
      </c>
      <c r="C563" t="s">
        <v>330</v>
      </c>
      <c r="D563" t="s">
        <v>30</v>
      </c>
      <c r="E563" t="s">
        <v>54</v>
      </c>
      <c r="F563" t="s">
        <v>55</v>
      </c>
      <c r="G563">
        <v>39</v>
      </c>
    </row>
    <row r="564" spans="1:7" hidden="1" x14ac:dyDescent="0.35">
      <c r="A564" t="s">
        <v>359</v>
      </c>
      <c r="B564" t="s">
        <v>165</v>
      </c>
      <c r="C564" t="s">
        <v>330</v>
      </c>
      <c r="D564" t="s">
        <v>10</v>
      </c>
      <c r="E564" t="s">
        <v>40</v>
      </c>
      <c r="F564" t="s">
        <v>41</v>
      </c>
      <c r="G564">
        <v>47</v>
      </c>
    </row>
    <row r="565" spans="1:7" hidden="1" x14ac:dyDescent="0.35">
      <c r="A565" t="s">
        <v>359</v>
      </c>
      <c r="B565" t="s">
        <v>165</v>
      </c>
      <c r="C565" t="s">
        <v>330</v>
      </c>
      <c r="D565" t="s">
        <v>10</v>
      </c>
      <c r="E565" t="s">
        <v>42</v>
      </c>
      <c r="F565" t="s">
        <v>43</v>
      </c>
      <c r="G565">
        <v>43</v>
      </c>
    </row>
    <row r="566" spans="1:7" hidden="1" x14ac:dyDescent="0.35">
      <c r="A566" t="s">
        <v>359</v>
      </c>
      <c r="B566" t="s">
        <v>165</v>
      </c>
      <c r="C566" t="s">
        <v>330</v>
      </c>
      <c r="D566" t="s">
        <v>10</v>
      </c>
      <c r="E566" t="s">
        <v>250</v>
      </c>
      <c r="F566" t="s">
        <v>251</v>
      </c>
      <c r="G566">
        <v>3</v>
      </c>
    </row>
    <row r="567" spans="1:7" hidden="1" x14ac:dyDescent="0.35">
      <c r="A567" t="s">
        <v>359</v>
      </c>
      <c r="B567" t="s">
        <v>165</v>
      </c>
      <c r="C567" t="s">
        <v>330</v>
      </c>
      <c r="D567" t="s">
        <v>10</v>
      </c>
      <c r="E567" t="s">
        <v>259</v>
      </c>
      <c r="F567" t="s">
        <v>253</v>
      </c>
      <c r="G567">
        <v>2</v>
      </c>
    </row>
    <row r="568" spans="1:7" hidden="1" x14ac:dyDescent="0.35">
      <c r="A568" t="s">
        <v>359</v>
      </c>
      <c r="B568" t="s">
        <v>165</v>
      </c>
      <c r="C568" t="s">
        <v>330</v>
      </c>
      <c r="D568" t="s">
        <v>10</v>
      </c>
      <c r="E568" t="s">
        <v>341</v>
      </c>
      <c r="F568" t="s">
        <v>255</v>
      </c>
      <c r="G568">
        <v>9</v>
      </c>
    </row>
    <row r="569" spans="1:7" hidden="1" x14ac:dyDescent="0.35">
      <c r="A569" t="s">
        <v>359</v>
      </c>
      <c r="B569" t="s">
        <v>165</v>
      </c>
      <c r="C569" t="s">
        <v>330</v>
      </c>
      <c r="D569" t="s">
        <v>10</v>
      </c>
      <c r="E569" t="s">
        <v>17</v>
      </c>
      <c r="F569" t="s">
        <v>18</v>
      </c>
      <c r="G569">
        <v>40</v>
      </c>
    </row>
    <row r="570" spans="1:7" hidden="1" x14ac:dyDescent="0.35">
      <c r="A570" t="s">
        <v>359</v>
      </c>
      <c r="B570" t="s">
        <v>165</v>
      </c>
      <c r="C570" t="s">
        <v>330</v>
      </c>
      <c r="D570" t="s">
        <v>10</v>
      </c>
      <c r="E570" t="s">
        <v>19</v>
      </c>
      <c r="F570" t="s">
        <v>20</v>
      </c>
      <c r="G570">
        <v>46</v>
      </c>
    </row>
    <row r="571" spans="1:7" x14ac:dyDescent="0.35">
      <c r="A571" t="s">
        <v>359</v>
      </c>
      <c r="B571" t="s">
        <v>165</v>
      </c>
      <c r="C571" t="s">
        <v>330</v>
      </c>
      <c r="D571" t="s">
        <v>21</v>
      </c>
      <c r="E571" t="s">
        <v>24</v>
      </c>
      <c r="F571" t="s">
        <v>25</v>
      </c>
      <c r="G571">
        <v>13</v>
      </c>
    </row>
    <row r="572" spans="1:7" x14ac:dyDescent="0.35">
      <c r="A572" t="s">
        <v>359</v>
      </c>
      <c r="B572" t="s">
        <v>165</v>
      </c>
      <c r="C572" t="s">
        <v>330</v>
      </c>
      <c r="D572" t="s">
        <v>21</v>
      </c>
      <c r="E572" t="s">
        <v>44</v>
      </c>
      <c r="F572" t="s">
        <v>45</v>
      </c>
      <c r="G572">
        <v>32</v>
      </c>
    </row>
    <row r="573" spans="1:7" x14ac:dyDescent="0.35">
      <c r="A573" t="s">
        <v>359</v>
      </c>
      <c r="B573" t="s">
        <v>165</v>
      </c>
      <c r="C573" t="s">
        <v>330</v>
      </c>
      <c r="D573" t="s">
        <v>21</v>
      </c>
      <c r="E573" t="s">
        <v>342</v>
      </c>
      <c r="F573" t="s">
        <v>343</v>
      </c>
      <c r="G573">
        <v>3</v>
      </c>
    </row>
    <row r="574" spans="1:7" x14ac:dyDescent="0.35">
      <c r="A574" t="s">
        <v>359</v>
      </c>
      <c r="B574" t="s">
        <v>165</v>
      </c>
      <c r="C574" t="s">
        <v>330</v>
      </c>
      <c r="D574" t="s">
        <v>21</v>
      </c>
      <c r="E574" t="s">
        <v>360</v>
      </c>
      <c r="F574" t="s">
        <v>361</v>
      </c>
      <c r="G574">
        <v>1</v>
      </c>
    </row>
    <row r="575" spans="1:7" x14ac:dyDescent="0.35">
      <c r="A575" t="s">
        <v>359</v>
      </c>
      <c r="B575" t="s">
        <v>165</v>
      </c>
      <c r="C575" t="s">
        <v>330</v>
      </c>
      <c r="D575" t="s">
        <v>21</v>
      </c>
      <c r="E575" t="s">
        <v>46</v>
      </c>
      <c r="F575" t="s">
        <v>47</v>
      </c>
      <c r="G575">
        <v>11</v>
      </c>
    </row>
    <row r="576" spans="1:7" x14ac:dyDescent="0.35">
      <c r="A576" t="s">
        <v>359</v>
      </c>
      <c r="B576" t="s">
        <v>165</v>
      </c>
      <c r="C576" t="s">
        <v>330</v>
      </c>
      <c r="D576" t="s">
        <v>21</v>
      </c>
      <c r="E576" t="s">
        <v>28</v>
      </c>
      <c r="F576" t="s">
        <v>29</v>
      </c>
      <c r="G576">
        <v>28</v>
      </c>
    </row>
    <row r="577" spans="1:7" hidden="1" x14ac:dyDescent="0.35">
      <c r="A577" t="s">
        <v>359</v>
      </c>
      <c r="B577" t="s">
        <v>165</v>
      </c>
      <c r="C577" t="s">
        <v>330</v>
      </c>
      <c r="D577" t="s">
        <v>30</v>
      </c>
      <c r="E577" t="s">
        <v>362</v>
      </c>
      <c r="F577" t="s">
        <v>363</v>
      </c>
      <c r="G577">
        <v>1</v>
      </c>
    </row>
    <row r="578" spans="1:7" hidden="1" x14ac:dyDescent="0.35">
      <c r="A578" t="s">
        <v>359</v>
      </c>
      <c r="B578" t="s">
        <v>165</v>
      </c>
      <c r="C578" t="s">
        <v>330</v>
      </c>
      <c r="D578" t="s">
        <v>30</v>
      </c>
      <c r="E578" t="s">
        <v>364</v>
      </c>
      <c r="F578" t="s">
        <v>340</v>
      </c>
      <c r="G578">
        <v>1</v>
      </c>
    </row>
    <row r="579" spans="1:7" hidden="1" x14ac:dyDescent="0.35">
      <c r="A579" t="s">
        <v>359</v>
      </c>
      <c r="B579" t="s">
        <v>165</v>
      </c>
      <c r="C579" t="s">
        <v>330</v>
      </c>
      <c r="D579" t="s">
        <v>30</v>
      </c>
      <c r="E579" t="s">
        <v>346</v>
      </c>
      <c r="F579" t="s">
        <v>332</v>
      </c>
      <c r="G579">
        <v>10</v>
      </c>
    </row>
    <row r="580" spans="1:7" hidden="1" x14ac:dyDescent="0.35">
      <c r="A580" t="s">
        <v>359</v>
      </c>
      <c r="B580" t="s">
        <v>165</v>
      </c>
      <c r="C580" t="s">
        <v>330</v>
      </c>
      <c r="D580" t="s">
        <v>30</v>
      </c>
      <c r="E580" t="s">
        <v>50</v>
      </c>
      <c r="F580" t="s">
        <v>51</v>
      </c>
      <c r="G580">
        <v>24</v>
      </c>
    </row>
    <row r="581" spans="1:7" hidden="1" x14ac:dyDescent="0.35">
      <c r="A581" t="s">
        <v>359</v>
      </c>
      <c r="B581" t="s">
        <v>165</v>
      </c>
      <c r="C581" t="s">
        <v>330</v>
      </c>
      <c r="D581" t="s">
        <v>30</v>
      </c>
      <c r="E581" t="s">
        <v>52</v>
      </c>
      <c r="F581" t="s">
        <v>53</v>
      </c>
      <c r="G581">
        <v>26</v>
      </c>
    </row>
    <row r="582" spans="1:7" hidden="1" x14ac:dyDescent="0.35">
      <c r="A582" t="s">
        <v>359</v>
      </c>
      <c r="B582" t="s">
        <v>165</v>
      </c>
      <c r="C582" t="s">
        <v>330</v>
      </c>
      <c r="D582" t="s">
        <v>30</v>
      </c>
      <c r="E582" t="s">
        <v>54</v>
      </c>
      <c r="F582" t="s">
        <v>55</v>
      </c>
      <c r="G582">
        <v>39</v>
      </c>
    </row>
    <row r="583" spans="1:7" hidden="1" x14ac:dyDescent="0.35">
      <c r="A583" t="s">
        <v>365</v>
      </c>
      <c r="B583" t="s">
        <v>173</v>
      </c>
      <c r="C583" t="s">
        <v>330</v>
      </c>
      <c r="D583" t="s">
        <v>10</v>
      </c>
      <c r="E583" t="s">
        <v>40</v>
      </c>
      <c r="F583" t="s">
        <v>41</v>
      </c>
      <c r="G583">
        <v>47</v>
      </c>
    </row>
    <row r="584" spans="1:7" hidden="1" x14ac:dyDescent="0.35">
      <c r="A584" t="s">
        <v>365</v>
      </c>
      <c r="B584" t="s">
        <v>173</v>
      </c>
      <c r="C584" t="s">
        <v>330</v>
      </c>
      <c r="D584" t="s">
        <v>10</v>
      </c>
      <c r="E584" t="s">
        <v>42</v>
      </c>
      <c r="F584" t="s">
        <v>43</v>
      </c>
      <c r="G584">
        <v>43</v>
      </c>
    </row>
    <row r="585" spans="1:7" hidden="1" x14ac:dyDescent="0.35">
      <c r="A585" t="s">
        <v>365</v>
      </c>
      <c r="B585" t="s">
        <v>173</v>
      </c>
      <c r="C585" t="s">
        <v>330</v>
      </c>
      <c r="D585" t="s">
        <v>10</v>
      </c>
      <c r="E585" t="s">
        <v>341</v>
      </c>
      <c r="F585" t="s">
        <v>255</v>
      </c>
      <c r="G585">
        <v>9</v>
      </c>
    </row>
    <row r="586" spans="1:7" hidden="1" x14ac:dyDescent="0.35">
      <c r="A586" t="s">
        <v>365</v>
      </c>
      <c r="B586" t="s">
        <v>173</v>
      </c>
      <c r="C586" t="s">
        <v>330</v>
      </c>
      <c r="D586" t="s">
        <v>10</v>
      </c>
      <c r="E586" t="s">
        <v>15</v>
      </c>
      <c r="F586" t="s">
        <v>16</v>
      </c>
      <c r="G586">
        <v>11</v>
      </c>
    </row>
    <row r="587" spans="1:7" hidden="1" x14ac:dyDescent="0.35">
      <c r="A587" t="s">
        <v>365</v>
      </c>
      <c r="B587" t="s">
        <v>173</v>
      </c>
      <c r="C587" t="s">
        <v>330</v>
      </c>
      <c r="D587" t="s">
        <v>10</v>
      </c>
      <c r="E587" t="s">
        <v>19</v>
      </c>
      <c r="F587" t="s">
        <v>20</v>
      </c>
      <c r="G587">
        <v>46</v>
      </c>
    </row>
    <row r="588" spans="1:7" hidden="1" x14ac:dyDescent="0.35">
      <c r="A588" t="s">
        <v>365</v>
      </c>
      <c r="B588" t="s">
        <v>173</v>
      </c>
      <c r="C588" t="s">
        <v>330</v>
      </c>
      <c r="D588" t="s">
        <v>21</v>
      </c>
      <c r="E588" t="s">
        <v>44</v>
      </c>
      <c r="F588" t="s">
        <v>45</v>
      </c>
      <c r="G588">
        <v>32</v>
      </c>
    </row>
    <row r="589" spans="1:7" hidden="1" x14ac:dyDescent="0.35">
      <c r="A589" t="s">
        <v>365</v>
      </c>
      <c r="B589" t="s">
        <v>173</v>
      </c>
      <c r="C589" t="s">
        <v>330</v>
      </c>
      <c r="D589" t="s">
        <v>21</v>
      </c>
      <c r="E589" t="s">
        <v>271</v>
      </c>
      <c r="F589" t="s">
        <v>272</v>
      </c>
      <c r="G589">
        <v>2</v>
      </c>
    </row>
    <row r="590" spans="1:7" hidden="1" x14ac:dyDescent="0.35">
      <c r="A590" t="s">
        <v>365</v>
      </c>
      <c r="B590" t="s">
        <v>173</v>
      </c>
      <c r="C590" t="s">
        <v>330</v>
      </c>
      <c r="D590" t="s">
        <v>21</v>
      </c>
      <c r="E590" t="s">
        <v>26</v>
      </c>
      <c r="F590" t="s">
        <v>27</v>
      </c>
      <c r="G590">
        <v>21</v>
      </c>
    </row>
    <row r="591" spans="1:7" hidden="1" x14ac:dyDescent="0.35">
      <c r="A591" t="s">
        <v>365</v>
      </c>
      <c r="B591" t="s">
        <v>173</v>
      </c>
      <c r="C591" t="s">
        <v>330</v>
      </c>
      <c r="D591" t="s">
        <v>21</v>
      </c>
      <c r="E591" t="s">
        <v>108</v>
      </c>
      <c r="F591" t="s">
        <v>109</v>
      </c>
      <c r="G591">
        <v>13</v>
      </c>
    </row>
    <row r="592" spans="1:7" hidden="1" x14ac:dyDescent="0.35">
      <c r="A592" t="s">
        <v>365</v>
      </c>
      <c r="B592" t="s">
        <v>173</v>
      </c>
      <c r="C592" t="s">
        <v>330</v>
      </c>
      <c r="D592" t="s">
        <v>30</v>
      </c>
      <c r="E592" t="s">
        <v>346</v>
      </c>
      <c r="F592" t="s">
        <v>332</v>
      </c>
      <c r="G592">
        <v>10</v>
      </c>
    </row>
    <row r="593" spans="1:7" hidden="1" x14ac:dyDescent="0.35">
      <c r="A593" t="s">
        <v>365</v>
      </c>
      <c r="B593" t="s">
        <v>173</v>
      </c>
      <c r="C593" t="s">
        <v>330</v>
      </c>
      <c r="D593" t="s">
        <v>30</v>
      </c>
      <c r="E593" t="s">
        <v>50</v>
      </c>
      <c r="F593" t="s">
        <v>51</v>
      </c>
      <c r="G593">
        <v>24</v>
      </c>
    </row>
    <row r="594" spans="1:7" hidden="1" x14ac:dyDescent="0.35">
      <c r="A594" t="s">
        <v>365</v>
      </c>
      <c r="B594" t="s">
        <v>173</v>
      </c>
      <c r="C594" t="s">
        <v>330</v>
      </c>
      <c r="D594" t="s">
        <v>30</v>
      </c>
      <c r="E594" t="s">
        <v>52</v>
      </c>
      <c r="F594" t="s">
        <v>53</v>
      </c>
      <c r="G594">
        <v>26</v>
      </c>
    </row>
    <row r="595" spans="1:7" hidden="1" x14ac:dyDescent="0.35">
      <c r="A595" t="s">
        <v>365</v>
      </c>
      <c r="B595" t="s">
        <v>173</v>
      </c>
      <c r="C595" t="s">
        <v>330</v>
      </c>
      <c r="D595" t="s">
        <v>30</v>
      </c>
      <c r="E595" t="s">
        <v>54</v>
      </c>
      <c r="F595" t="s">
        <v>55</v>
      </c>
      <c r="G595">
        <v>39</v>
      </c>
    </row>
    <row r="596" spans="1:7" hidden="1" x14ac:dyDescent="0.35">
      <c r="A596" t="s">
        <v>366</v>
      </c>
      <c r="B596" t="s">
        <v>186</v>
      </c>
      <c r="C596" t="s">
        <v>330</v>
      </c>
      <c r="D596" t="s">
        <v>10</v>
      </c>
      <c r="E596" t="s">
        <v>40</v>
      </c>
      <c r="F596" t="s">
        <v>41</v>
      </c>
      <c r="G596">
        <v>47</v>
      </c>
    </row>
    <row r="597" spans="1:7" hidden="1" x14ac:dyDescent="0.35">
      <c r="A597" t="s">
        <v>366</v>
      </c>
      <c r="B597" t="s">
        <v>186</v>
      </c>
      <c r="C597" t="s">
        <v>330</v>
      </c>
      <c r="D597" t="s">
        <v>10</v>
      </c>
      <c r="E597" t="s">
        <v>42</v>
      </c>
      <c r="F597" t="s">
        <v>43</v>
      </c>
      <c r="G597">
        <v>43</v>
      </c>
    </row>
    <row r="598" spans="1:7" hidden="1" x14ac:dyDescent="0.35">
      <c r="A598" t="s">
        <v>366</v>
      </c>
      <c r="B598" t="s">
        <v>186</v>
      </c>
      <c r="C598" t="s">
        <v>330</v>
      </c>
      <c r="D598" t="s">
        <v>10</v>
      </c>
      <c r="E598" t="s">
        <v>341</v>
      </c>
      <c r="F598" t="s">
        <v>255</v>
      </c>
      <c r="G598">
        <v>9</v>
      </c>
    </row>
    <row r="599" spans="1:7" hidden="1" x14ac:dyDescent="0.35">
      <c r="A599" t="s">
        <v>366</v>
      </c>
      <c r="B599" t="s">
        <v>186</v>
      </c>
      <c r="C599" t="s">
        <v>330</v>
      </c>
      <c r="D599" t="s">
        <v>10</v>
      </c>
      <c r="E599" t="s">
        <v>17</v>
      </c>
      <c r="F599" t="s">
        <v>18</v>
      </c>
      <c r="G599">
        <v>40</v>
      </c>
    </row>
    <row r="600" spans="1:7" hidden="1" x14ac:dyDescent="0.35">
      <c r="A600" t="s">
        <v>366</v>
      </c>
      <c r="B600" t="s">
        <v>186</v>
      </c>
      <c r="C600" t="s">
        <v>330</v>
      </c>
      <c r="D600" t="s">
        <v>10</v>
      </c>
      <c r="E600" t="s">
        <v>19</v>
      </c>
      <c r="F600" t="s">
        <v>20</v>
      </c>
      <c r="G600">
        <v>46</v>
      </c>
    </row>
    <row r="601" spans="1:7" hidden="1" x14ac:dyDescent="0.35">
      <c r="A601" t="s">
        <v>366</v>
      </c>
      <c r="B601" t="s">
        <v>186</v>
      </c>
      <c r="C601" t="s">
        <v>330</v>
      </c>
      <c r="D601" t="s">
        <v>21</v>
      </c>
      <c r="E601" t="s">
        <v>22</v>
      </c>
      <c r="F601" t="s">
        <v>23</v>
      </c>
      <c r="G601">
        <v>36</v>
      </c>
    </row>
    <row r="602" spans="1:7" hidden="1" x14ac:dyDescent="0.35">
      <c r="A602" t="s">
        <v>366</v>
      </c>
      <c r="B602" t="s">
        <v>186</v>
      </c>
      <c r="C602" t="s">
        <v>330</v>
      </c>
      <c r="D602" t="s">
        <v>21</v>
      </c>
      <c r="E602" t="s">
        <v>108</v>
      </c>
      <c r="F602" t="s">
        <v>109</v>
      </c>
      <c r="G602">
        <v>13</v>
      </c>
    </row>
    <row r="603" spans="1:7" hidden="1" x14ac:dyDescent="0.35">
      <c r="A603" t="s">
        <v>366</v>
      </c>
      <c r="B603" t="s">
        <v>186</v>
      </c>
      <c r="C603" t="s">
        <v>330</v>
      </c>
      <c r="D603" t="s">
        <v>21</v>
      </c>
      <c r="E603" t="s">
        <v>46</v>
      </c>
      <c r="F603" t="s">
        <v>47</v>
      </c>
      <c r="G603">
        <v>11</v>
      </c>
    </row>
    <row r="604" spans="1:7" hidden="1" x14ac:dyDescent="0.35">
      <c r="A604" t="s">
        <v>366</v>
      </c>
      <c r="B604" t="s">
        <v>186</v>
      </c>
      <c r="C604" t="s">
        <v>330</v>
      </c>
      <c r="D604" t="s">
        <v>21</v>
      </c>
      <c r="E604" t="s">
        <v>26</v>
      </c>
      <c r="F604" t="s">
        <v>27</v>
      </c>
      <c r="G604">
        <v>21</v>
      </c>
    </row>
    <row r="605" spans="1:7" hidden="1" x14ac:dyDescent="0.35">
      <c r="A605" t="s">
        <v>366</v>
      </c>
      <c r="B605" t="s">
        <v>186</v>
      </c>
      <c r="C605" t="s">
        <v>330</v>
      </c>
      <c r="D605" t="s">
        <v>21</v>
      </c>
      <c r="E605" t="s">
        <v>28</v>
      </c>
      <c r="F605" t="s">
        <v>29</v>
      </c>
      <c r="G605">
        <v>28</v>
      </c>
    </row>
    <row r="606" spans="1:7" hidden="1" x14ac:dyDescent="0.35">
      <c r="A606" t="s">
        <v>366</v>
      </c>
      <c r="B606" t="s">
        <v>186</v>
      </c>
      <c r="C606" t="s">
        <v>330</v>
      </c>
      <c r="D606" t="s">
        <v>30</v>
      </c>
      <c r="E606" t="s">
        <v>346</v>
      </c>
      <c r="F606" t="s">
        <v>332</v>
      </c>
      <c r="G606">
        <v>10</v>
      </c>
    </row>
    <row r="607" spans="1:7" hidden="1" x14ac:dyDescent="0.35">
      <c r="A607" t="s">
        <v>366</v>
      </c>
      <c r="B607" t="s">
        <v>186</v>
      </c>
      <c r="C607" t="s">
        <v>330</v>
      </c>
      <c r="D607" t="s">
        <v>30</v>
      </c>
      <c r="E607" t="s">
        <v>50</v>
      </c>
      <c r="F607" t="s">
        <v>51</v>
      </c>
      <c r="G607">
        <v>24</v>
      </c>
    </row>
    <row r="608" spans="1:7" hidden="1" x14ac:dyDescent="0.35">
      <c r="A608" t="s">
        <v>366</v>
      </c>
      <c r="B608" t="s">
        <v>186</v>
      </c>
      <c r="C608" t="s">
        <v>330</v>
      </c>
      <c r="D608" t="s">
        <v>30</v>
      </c>
      <c r="E608" t="s">
        <v>52</v>
      </c>
      <c r="F608" t="s">
        <v>53</v>
      </c>
      <c r="G608">
        <v>26</v>
      </c>
    </row>
    <row r="609" spans="1:7" hidden="1" x14ac:dyDescent="0.35">
      <c r="A609" t="s">
        <v>366</v>
      </c>
      <c r="B609" t="s">
        <v>186</v>
      </c>
      <c r="C609" t="s">
        <v>330</v>
      </c>
      <c r="D609" t="s">
        <v>30</v>
      </c>
      <c r="E609" t="s">
        <v>54</v>
      </c>
      <c r="F609" t="s">
        <v>55</v>
      </c>
      <c r="G609">
        <v>39</v>
      </c>
    </row>
    <row r="610" spans="1:7" hidden="1" x14ac:dyDescent="0.35">
      <c r="A610" t="s">
        <v>367</v>
      </c>
      <c r="B610" t="s">
        <v>198</v>
      </c>
      <c r="C610" t="s">
        <v>330</v>
      </c>
      <c r="D610" t="s">
        <v>10</v>
      </c>
      <c r="E610" t="s">
        <v>40</v>
      </c>
      <c r="F610" t="s">
        <v>41</v>
      </c>
      <c r="G610">
        <v>47</v>
      </c>
    </row>
    <row r="611" spans="1:7" hidden="1" x14ac:dyDescent="0.35">
      <c r="A611" t="s">
        <v>367</v>
      </c>
      <c r="B611" t="s">
        <v>198</v>
      </c>
      <c r="C611" t="s">
        <v>330</v>
      </c>
      <c r="D611" t="s">
        <v>10</v>
      </c>
      <c r="E611" t="s">
        <v>42</v>
      </c>
      <c r="F611" t="s">
        <v>43</v>
      </c>
      <c r="G611">
        <v>43</v>
      </c>
    </row>
    <row r="612" spans="1:7" hidden="1" x14ac:dyDescent="0.35">
      <c r="A612" t="s">
        <v>367</v>
      </c>
      <c r="B612" t="s">
        <v>198</v>
      </c>
      <c r="C612" t="s">
        <v>330</v>
      </c>
      <c r="D612" t="s">
        <v>10</v>
      </c>
      <c r="E612" t="s">
        <v>341</v>
      </c>
      <c r="F612" t="s">
        <v>255</v>
      </c>
      <c r="G612">
        <v>9</v>
      </c>
    </row>
    <row r="613" spans="1:7" hidden="1" x14ac:dyDescent="0.35">
      <c r="A613" t="s">
        <v>367</v>
      </c>
      <c r="B613" t="s">
        <v>198</v>
      </c>
      <c r="C613" t="s">
        <v>330</v>
      </c>
      <c r="D613" t="s">
        <v>10</v>
      </c>
      <c r="E613" t="s">
        <v>304</v>
      </c>
      <c r="F613" t="s">
        <v>305</v>
      </c>
      <c r="G613">
        <v>6</v>
      </c>
    </row>
    <row r="614" spans="1:7" hidden="1" x14ac:dyDescent="0.35">
      <c r="A614" t="s">
        <v>367</v>
      </c>
      <c r="B614" t="s">
        <v>198</v>
      </c>
      <c r="C614" t="s">
        <v>330</v>
      </c>
      <c r="D614" t="s">
        <v>21</v>
      </c>
      <c r="E614" t="s">
        <v>44</v>
      </c>
      <c r="F614" t="s">
        <v>45</v>
      </c>
      <c r="G614">
        <v>32</v>
      </c>
    </row>
    <row r="615" spans="1:7" hidden="1" x14ac:dyDescent="0.35">
      <c r="A615" t="s">
        <v>367</v>
      </c>
      <c r="B615" t="s">
        <v>198</v>
      </c>
      <c r="C615" t="s">
        <v>330</v>
      </c>
      <c r="D615" t="s">
        <v>21</v>
      </c>
      <c r="E615" t="s">
        <v>267</v>
      </c>
      <c r="F615" t="s">
        <v>268</v>
      </c>
      <c r="G615">
        <v>3</v>
      </c>
    </row>
    <row r="616" spans="1:7" hidden="1" x14ac:dyDescent="0.35">
      <c r="A616" t="s">
        <v>367</v>
      </c>
      <c r="B616" t="s">
        <v>198</v>
      </c>
      <c r="C616" t="s">
        <v>330</v>
      </c>
      <c r="D616" t="s">
        <v>21</v>
      </c>
      <c r="E616" t="s">
        <v>28</v>
      </c>
      <c r="F616" t="s">
        <v>29</v>
      </c>
      <c r="G616">
        <v>28</v>
      </c>
    </row>
    <row r="617" spans="1:7" hidden="1" x14ac:dyDescent="0.35">
      <c r="A617" t="s">
        <v>367</v>
      </c>
      <c r="B617" t="s">
        <v>198</v>
      </c>
      <c r="C617" t="s">
        <v>330</v>
      </c>
      <c r="D617" t="s">
        <v>30</v>
      </c>
      <c r="E617" t="s">
        <v>346</v>
      </c>
      <c r="F617" t="s">
        <v>332</v>
      </c>
      <c r="G617">
        <v>10</v>
      </c>
    </row>
    <row r="618" spans="1:7" hidden="1" x14ac:dyDescent="0.35">
      <c r="A618" t="s">
        <v>367</v>
      </c>
      <c r="B618" t="s">
        <v>198</v>
      </c>
      <c r="C618" t="s">
        <v>330</v>
      </c>
      <c r="D618" t="s">
        <v>30</v>
      </c>
      <c r="E618" t="s">
        <v>50</v>
      </c>
      <c r="F618" t="s">
        <v>51</v>
      </c>
      <c r="G618">
        <v>24</v>
      </c>
    </row>
    <row r="619" spans="1:7" hidden="1" x14ac:dyDescent="0.35">
      <c r="A619" t="s">
        <v>367</v>
      </c>
      <c r="B619" t="s">
        <v>198</v>
      </c>
      <c r="C619" t="s">
        <v>330</v>
      </c>
      <c r="D619" t="s">
        <v>30</v>
      </c>
      <c r="E619" t="s">
        <v>52</v>
      </c>
      <c r="F619" t="s">
        <v>53</v>
      </c>
      <c r="G619">
        <v>26</v>
      </c>
    </row>
    <row r="620" spans="1:7" hidden="1" x14ac:dyDescent="0.35">
      <c r="A620" t="s">
        <v>367</v>
      </c>
      <c r="B620" t="s">
        <v>198</v>
      </c>
      <c r="C620" t="s">
        <v>330</v>
      </c>
      <c r="D620" t="s">
        <v>30</v>
      </c>
      <c r="E620" t="s">
        <v>54</v>
      </c>
      <c r="F620" t="s">
        <v>55</v>
      </c>
      <c r="G620">
        <v>39</v>
      </c>
    </row>
    <row r="621" spans="1:7" hidden="1" x14ac:dyDescent="0.35">
      <c r="A621" t="s">
        <v>368</v>
      </c>
      <c r="B621" t="s">
        <v>226</v>
      </c>
      <c r="C621" t="s">
        <v>330</v>
      </c>
      <c r="D621" t="s">
        <v>10</v>
      </c>
      <c r="E621" t="s">
        <v>40</v>
      </c>
      <c r="F621" t="s">
        <v>41</v>
      </c>
      <c r="G621">
        <v>47</v>
      </c>
    </row>
    <row r="622" spans="1:7" hidden="1" x14ac:dyDescent="0.35">
      <c r="A622" t="s">
        <v>368</v>
      </c>
      <c r="B622" t="s">
        <v>226</v>
      </c>
      <c r="C622" t="s">
        <v>330</v>
      </c>
      <c r="D622" t="s">
        <v>10</v>
      </c>
      <c r="E622" t="s">
        <v>42</v>
      </c>
      <c r="F622" t="s">
        <v>43</v>
      </c>
      <c r="G622">
        <v>43</v>
      </c>
    </row>
    <row r="623" spans="1:7" hidden="1" x14ac:dyDescent="0.35">
      <c r="A623" t="s">
        <v>368</v>
      </c>
      <c r="B623" t="s">
        <v>226</v>
      </c>
      <c r="C623" t="s">
        <v>330</v>
      </c>
      <c r="D623" t="s">
        <v>10</v>
      </c>
      <c r="E623" t="s">
        <v>15</v>
      </c>
      <c r="F623" t="s">
        <v>16</v>
      </c>
      <c r="G623">
        <v>11</v>
      </c>
    </row>
    <row r="624" spans="1:7" hidden="1" x14ac:dyDescent="0.35">
      <c r="A624" t="s">
        <v>368</v>
      </c>
      <c r="B624" t="s">
        <v>226</v>
      </c>
      <c r="C624" t="s">
        <v>330</v>
      </c>
      <c r="D624" t="s">
        <v>10</v>
      </c>
      <c r="E624" t="s">
        <v>202</v>
      </c>
      <c r="F624" t="s">
        <v>203</v>
      </c>
      <c r="G624">
        <v>4</v>
      </c>
    </row>
    <row r="625" spans="1:7" hidden="1" x14ac:dyDescent="0.35">
      <c r="A625" t="s">
        <v>368</v>
      </c>
      <c r="B625" t="s">
        <v>226</v>
      </c>
      <c r="C625" t="s">
        <v>330</v>
      </c>
      <c r="D625" t="s">
        <v>10</v>
      </c>
      <c r="E625" t="s">
        <v>250</v>
      </c>
      <c r="F625" t="s">
        <v>251</v>
      </c>
      <c r="G625">
        <v>3</v>
      </c>
    </row>
    <row r="626" spans="1:7" hidden="1" x14ac:dyDescent="0.35">
      <c r="A626" t="s">
        <v>368</v>
      </c>
      <c r="B626" t="s">
        <v>226</v>
      </c>
      <c r="C626" t="s">
        <v>330</v>
      </c>
      <c r="D626" t="s">
        <v>10</v>
      </c>
      <c r="E626" t="s">
        <v>304</v>
      </c>
      <c r="F626" t="s">
        <v>305</v>
      </c>
      <c r="G626">
        <v>6</v>
      </c>
    </row>
    <row r="627" spans="1:7" hidden="1" x14ac:dyDescent="0.35">
      <c r="A627" t="s">
        <v>368</v>
      </c>
      <c r="B627" t="s">
        <v>226</v>
      </c>
      <c r="C627" t="s">
        <v>330</v>
      </c>
      <c r="D627" t="s">
        <v>10</v>
      </c>
      <c r="E627" t="s">
        <v>17</v>
      </c>
      <c r="F627" t="s">
        <v>18</v>
      </c>
      <c r="G627">
        <v>40</v>
      </c>
    </row>
    <row r="628" spans="1:7" hidden="1" x14ac:dyDescent="0.35">
      <c r="A628" t="s">
        <v>368</v>
      </c>
      <c r="B628" t="s">
        <v>226</v>
      </c>
      <c r="C628" t="s">
        <v>330</v>
      </c>
      <c r="D628" t="s">
        <v>10</v>
      </c>
      <c r="E628" t="s">
        <v>19</v>
      </c>
      <c r="F628" t="s">
        <v>20</v>
      </c>
      <c r="G628">
        <v>46</v>
      </c>
    </row>
    <row r="629" spans="1:7" hidden="1" x14ac:dyDescent="0.35">
      <c r="A629" t="s">
        <v>368</v>
      </c>
      <c r="B629" t="s">
        <v>226</v>
      </c>
      <c r="C629" t="s">
        <v>330</v>
      </c>
      <c r="D629" t="s">
        <v>21</v>
      </c>
      <c r="E629" t="s">
        <v>22</v>
      </c>
      <c r="F629" t="s">
        <v>23</v>
      </c>
      <c r="G629">
        <v>36</v>
      </c>
    </row>
    <row r="630" spans="1:7" hidden="1" x14ac:dyDescent="0.35">
      <c r="A630" t="s">
        <v>368</v>
      </c>
      <c r="B630" t="s">
        <v>226</v>
      </c>
      <c r="C630" t="s">
        <v>330</v>
      </c>
      <c r="D630" t="s">
        <v>21</v>
      </c>
      <c r="E630" t="s">
        <v>369</v>
      </c>
      <c r="F630" t="s">
        <v>370</v>
      </c>
      <c r="G630">
        <v>1</v>
      </c>
    </row>
    <row r="631" spans="1:7" hidden="1" x14ac:dyDescent="0.35">
      <c r="A631" t="s">
        <v>368</v>
      </c>
      <c r="B631" t="s">
        <v>226</v>
      </c>
      <c r="C631" t="s">
        <v>330</v>
      </c>
      <c r="D631" t="s">
        <v>21</v>
      </c>
      <c r="E631" t="s">
        <v>44</v>
      </c>
      <c r="F631" t="s">
        <v>45</v>
      </c>
      <c r="G631">
        <v>32</v>
      </c>
    </row>
    <row r="632" spans="1:7" hidden="1" x14ac:dyDescent="0.35">
      <c r="A632" t="s">
        <v>368</v>
      </c>
      <c r="B632" t="s">
        <v>226</v>
      </c>
      <c r="C632" t="s">
        <v>330</v>
      </c>
      <c r="D632" t="s">
        <v>21</v>
      </c>
      <c r="E632" t="s">
        <v>342</v>
      </c>
      <c r="F632" t="s">
        <v>343</v>
      </c>
      <c r="G632">
        <v>3</v>
      </c>
    </row>
    <row r="633" spans="1:7" hidden="1" x14ac:dyDescent="0.35">
      <c r="A633" t="s">
        <v>368</v>
      </c>
      <c r="B633" t="s">
        <v>226</v>
      </c>
      <c r="C633" t="s">
        <v>330</v>
      </c>
      <c r="D633" t="s">
        <v>21</v>
      </c>
      <c r="E633" t="s">
        <v>267</v>
      </c>
      <c r="F633" t="s">
        <v>268</v>
      </c>
      <c r="G633">
        <v>3</v>
      </c>
    </row>
    <row r="634" spans="1:7" hidden="1" x14ac:dyDescent="0.35">
      <c r="A634" t="s">
        <v>368</v>
      </c>
      <c r="B634" t="s">
        <v>226</v>
      </c>
      <c r="C634" t="s">
        <v>330</v>
      </c>
      <c r="D634" t="s">
        <v>30</v>
      </c>
      <c r="E634" t="s">
        <v>371</v>
      </c>
      <c r="F634" t="s">
        <v>372</v>
      </c>
      <c r="G634">
        <v>1</v>
      </c>
    </row>
    <row r="635" spans="1:7" hidden="1" x14ac:dyDescent="0.35">
      <c r="A635" t="s">
        <v>368</v>
      </c>
      <c r="B635" t="s">
        <v>226</v>
      </c>
      <c r="C635" t="s">
        <v>330</v>
      </c>
      <c r="D635" t="s">
        <v>30</v>
      </c>
      <c r="E635" t="s">
        <v>346</v>
      </c>
      <c r="F635" t="s">
        <v>332</v>
      </c>
      <c r="G635">
        <v>10</v>
      </c>
    </row>
    <row r="636" spans="1:7" hidden="1" x14ac:dyDescent="0.35">
      <c r="A636" t="s">
        <v>368</v>
      </c>
      <c r="B636" t="s">
        <v>226</v>
      </c>
      <c r="C636" t="s">
        <v>330</v>
      </c>
      <c r="D636" t="s">
        <v>30</v>
      </c>
      <c r="E636" t="s">
        <v>373</v>
      </c>
      <c r="F636" t="s">
        <v>374</v>
      </c>
      <c r="G636">
        <v>1</v>
      </c>
    </row>
    <row r="637" spans="1:7" hidden="1" x14ac:dyDescent="0.35">
      <c r="A637" t="s">
        <v>368</v>
      </c>
      <c r="B637" t="s">
        <v>226</v>
      </c>
      <c r="C637" t="s">
        <v>330</v>
      </c>
      <c r="D637" t="s">
        <v>30</v>
      </c>
      <c r="E637" t="s">
        <v>50</v>
      </c>
      <c r="F637" t="s">
        <v>51</v>
      </c>
      <c r="G637">
        <v>24</v>
      </c>
    </row>
    <row r="638" spans="1:7" hidden="1" x14ac:dyDescent="0.35">
      <c r="A638" t="s">
        <v>368</v>
      </c>
      <c r="B638" t="s">
        <v>226</v>
      </c>
      <c r="C638" t="s">
        <v>330</v>
      </c>
      <c r="D638" t="s">
        <v>30</v>
      </c>
      <c r="E638" t="s">
        <v>52</v>
      </c>
      <c r="F638" t="s">
        <v>53</v>
      </c>
      <c r="G638">
        <v>26</v>
      </c>
    </row>
    <row r="639" spans="1:7" hidden="1" x14ac:dyDescent="0.35">
      <c r="A639" t="s">
        <v>368</v>
      </c>
      <c r="B639" t="s">
        <v>226</v>
      </c>
      <c r="C639" t="s">
        <v>330</v>
      </c>
      <c r="D639" t="s">
        <v>30</v>
      </c>
      <c r="E639" t="s">
        <v>54</v>
      </c>
      <c r="F639" t="s">
        <v>55</v>
      </c>
      <c r="G639">
        <v>39</v>
      </c>
    </row>
    <row r="640" spans="1:7" hidden="1" x14ac:dyDescent="0.35">
      <c r="A640" t="s">
        <v>368</v>
      </c>
      <c r="B640" t="s">
        <v>226</v>
      </c>
      <c r="C640" t="s">
        <v>330</v>
      </c>
      <c r="D640" t="s">
        <v>30</v>
      </c>
      <c r="E640" t="s">
        <v>243</v>
      </c>
      <c r="F640" t="s">
        <v>244</v>
      </c>
      <c r="G640">
        <v>10</v>
      </c>
    </row>
    <row r="641" spans="1:7" hidden="1" x14ac:dyDescent="0.35">
      <c r="A641" t="s">
        <v>375</v>
      </c>
      <c r="B641" t="s">
        <v>36</v>
      </c>
      <c r="C641" t="s">
        <v>330</v>
      </c>
      <c r="D641" t="s">
        <v>10</v>
      </c>
      <c r="E641" t="s">
        <v>40</v>
      </c>
      <c r="F641" t="s">
        <v>41</v>
      </c>
      <c r="G641">
        <v>47</v>
      </c>
    </row>
    <row r="642" spans="1:7" hidden="1" x14ac:dyDescent="0.35">
      <c r="A642" t="s">
        <v>375</v>
      </c>
      <c r="B642" t="s">
        <v>36</v>
      </c>
      <c r="C642" t="s">
        <v>330</v>
      </c>
      <c r="D642" t="s">
        <v>10</v>
      </c>
      <c r="E642" t="s">
        <v>42</v>
      </c>
      <c r="F642" t="s">
        <v>43</v>
      </c>
      <c r="G642">
        <v>43</v>
      </c>
    </row>
    <row r="643" spans="1:7" hidden="1" x14ac:dyDescent="0.35">
      <c r="A643" t="s">
        <v>375</v>
      </c>
      <c r="B643" t="s">
        <v>36</v>
      </c>
      <c r="C643" t="s">
        <v>330</v>
      </c>
      <c r="D643" t="s">
        <v>10</v>
      </c>
      <c r="E643" t="s">
        <v>341</v>
      </c>
      <c r="F643" t="s">
        <v>255</v>
      </c>
      <c r="G643">
        <v>9</v>
      </c>
    </row>
    <row r="644" spans="1:7" hidden="1" x14ac:dyDescent="0.35">
      <c r="A644" t="s">
        <v>375</v>
      </c>
      <c r="B644" t="s">
        <v>36</v>
      </c>
      <c r="C644" t="s">
        <v>330</v>
      </c>
      <c r="D644" t="s">
        <v>10</v>
      </c>
      <c r="E644" t="s">
        <v>17</v>
      </c>
      <c r="F644" t="s">
        <v>18</v>
      </c>
      <c r="G644">
        <v>40</v>
      </c>
    </row>
    <row r="645" spans="1:7" hidden="1" x14ac:dyDescent="0.35">
      <c r="A645" t="s">
        <v>375</v>
      </c>
      <c r="B645" t="s">
        <v>36</v>
      </c>
      <c r="C645" t="s">
        <v>330</v>
      </c>
      <c r="D645" t="s">
        <v>10</v>
      </c>
      <c r="E645" t="s">
        <v>19</v>
      </c>
      <c r="F645" t="s">
        <v>20</v>
      </c>
      <c r="G645">
        <v>46</v>
      </c>
    </row>
    <row r="646" spans="1:7" hidden="1" x14ac:dyDescent="0.35">
      <c r="A646" t="s">
        <v>375</v>
      </c>
      <c r="B646" t="s">
        <v>36</v>
      </c>
      <c r="C646" t="s">
        <v>330</v>
      </c>
      <c r="D646" t="s">
        <v>21</v>
      </c>
      <c r="E646" t="s">
        <v>22</v>
      </c>
      <c r="F646" t="s">
        <v>23</v>
      </c>
      <c r="G646">
        <v>36</v>
      </c>
    </row>
    <row r="647" spans="1:7" hidden="1" x14ac:dyDescent="0.35">
      <c r="A647" t="s">
        <v>375</v>
      </c>
      <c r="B647" t="s">
        <v>36</v>
      </c>
      <c r="C647" t="s">
        <v>330</v>
      </c>
      <c r="D647" t="s">
        <v>21</v>
      </c>
      <c r="E647" t="s">
        <v>108</v>
      </c>
      <c r="F647" t="s">
        <v>109</v>
      </c>
      <c r="G647">
        <v>13</v>
      </c>
    </row>
    <row r="648" spans="1:7" hidden="1" x14ac:dyDescent="0.35">
      <c r="A648" t="s">
        <v>375</v>
      </c>
      <c r="B648" t="s">
        <v>36</v>
      </c>
      <c r="C648" t="s">
        <v>330</v>
      </c>
      <c r="D648" t="s">
        <v>21</v>
      </c>
      <c r="E648" t="s">
        <v>44</v>
      </c>
      <c r="F648" t="s">
        <v>45</v>
      </c>
      <c r="G648">
        <v>32</v>
      </c>
    </row>
    <row r="649" spans="1:7" hidden="1" x14ac:dyDescent="0.35">
      <c r="A649" t="s">
        <v>375</v>
      </c>
      <c r="B649" t="s">
        <v>36</v>
      </c>
      <c r="C649" t="s">
        <v>330</v>
      </c>
      <c r="D649" t="s">
        <v>21</v>
      </c>
      <c r="E649" t="s">
        <v>68</v>
      </c>
      <c r="F649" t="s">
        <v>69</v>
      </c>
      <c r="G649">
        <v>13</v>
      </c>
    </row>
    <row r="650" spans="1:7" hidden="1" x14ac:dyDescent="0.35">
      <c r="A650" t="s">
        <v>375</v>
      </c>
      <c r="B650" t="s">
        <v>36</v>
      </c>
      <c r="C650" t="s">
        <v>330</v>
      </c>
      <c r="D650" t="s">
        <v>21</v>
      </c>
      <c r="E650" t="s">
        <v>46</v>
      </c>
      <c r="F650" t="s">
        <v>47</v>
      </c>
      <c r="G650">
        <v>11</v>
      </c>
    </row>
    <row r="651" spans="1:7" hidden="1" x14ac:dyDescent="0.35">
      <c r="A651" t="s">
        <v>375</v>
      </c>
      <c r="B651" t="s">
        <v>36</v>
      </c>
      <c r="C651" t="s">
        <v>330</v>
      </c>
      <c r="D651" t="s">
        <v>21</v>
      </c>
      <c r="E651" t="s">
        <v>26</v>
      </c>
      <c r="F651" t="s">
        <v>27</v>
      </c>
      <c r="G651">
        <v>21</v>
      </c>
    </row>
    <row r="652" spans="1:7" hidden="1" x14ac:dyDescent="0.35">
      <c r="A652" t="s">
        <v>375</v>
      </c>
      <c r="B652" t="s">
        <v>36</v>
      </c>
      <c r="C652" t="s">
        <v>330</v>
      </c>
      <c r="D652" t="s">
        <v>21</v>
      </c>
      <c r="E652" t="s">
        <v>28</v>
      </c>
      <c r="F652" t="s">
        <v>29</v>
      </c>
      <c r="G652">
        <v>28</v>
      </c>
    </row>
    <row r="653" spans="1:7" hidden="1" x14ac:dyDescent="0.35">
      <c r="A653" t="s">
        <v>375</v>
      </c>
      <c r="B653" t="s">
        <v>36</v>
      </c>
      <c r="C653" t="s">
        <v>330</v>
      </c>
      <c r="D653" t="s">
        <v>30</v>
      </c>
      <c r="E653" t="s">
        <v>346</v>
      </c>
      <c r="F653" t="s">
        <v>332</v>
      </c>
      <c r="G653">
        <v>10</v>
      </c>
    </row>
    <row r="654" spans="1:7" hidden="1" x14ac:dyDescent="0.35">
      <c r="A654" t="s">
        <v>375</v>
      </c>
      <c r="B654" t="s">
        <v>36</v>
      </c>
      <c r="C654" t="s">
        <v>330</v>
      </c>
      <c r="D654" t="s">
        <v>30</v>
      </c>
      <c r="E654" t="s">
        <v>50</v>
      </c>
      <c r="F654" t="s">
        <v>51</v>
      </c>
      <c r="G654">
        <v>24</v>
      </c>
    </row>
    <row r="655" spans="1:7" hidden="1" x14ac:dyDescent="0.35">
      <c r="A655" t="s">
        <v>375</v>
      </c>
      <c r="B655" t="s">
        <v>36</v>
      </c>
      <c r="C655" t="s">
        <v>330</v>
      </c>
      <c r="D655" t="s">
        <v>30</v>
      </c>
      <c r="E655" t="s">
        <v>52</v>
      </c>
      <c r="F655" t="s">
        <v>53</v>
      </c>
      <c r="G655">
        <v>26</v>
      </c>
    </row>
    <row r="656" spans="1:7" hidden="1" x14ac:dyDescent="0.35">
      <c r="A656" t="s">
        <v>375</v>
      </c>
      <c r="B656" t="s">
        <v>36</v>
      </c>
      <c r="C656" t="s">
        <v>330</v>
      </c>
      <c r="D656" t="s">
        <v>30</v>
      </c>
      <c r="E656" t="s">
        <v>54</v>
      </c>
      <c r="F656" t="s">
        <v>55</v>
      </c>
      <c r="G656">
        <v>39</v>
      </c>
    </row>
    <row r="657" spans="1:7" hidden="1" x14ac:dyDescent="0.35">
      <c r="A657" t="s">
        <v>376</v>
      </c>
      <c r="B657" t="s">
        <v>8</v>
      </c>
      <c r="C657" t="s">
        <v>377</v>
      </c>
      <c r="D657" t="s">
        <v>10</v>
      </c>
      <c r="E657" t="s">
        <v>37</v>
      </c>
      <c r="F657" t="s">
        <v>32</v>
      </c>
      <c r="G657">
        <v>14</v>
      </c>
    </row>
    <row r="658" spans="1:7" hidden="1" x14ac:dyDescent="0.35">
      <c r="A658" t="s">
        <v>376</v>
      </c>
      <c r="B658" t="s">
        <v>8</v>
      </c>
      <c r="C658" t="s">
        <v>377</v>
      </c>
      <c r="D658" t="s">
        <v>10</v>
      </c>
      <c r="E658" t="s">
        <v>40</v>
      </c>
      <c r="F658" t="s">
        <v>41</v>
      </c>
      <c r="G658">
        <v>47</v>
      </c>
    </row>
    <row r="659" spans="1:7" hidden="1" x14ac:dyDescent="0.35">
      <c r="A659" t="s">
        <v>376</v>
      </c>
      <c r="B659" t="s">
        <v>8</v>
      </c>
      <c r="C659" t="s">
        <v>377</v>
      </c>
      <c r="D659" t="s">
        <v>10</v>
      </c>
      <c r="E659" t="s">
        <v>42</v>
      </c>
      <c r="F659" t="s">
        <v>43</v>
      </c>
      <c r="G659">
        <v>43</v>
      </c>
    </row>
    <row r="660" spans="1:7" hidden="1" x14ac:dyDescent="0.35">
      <c r="A660" t="s">
        <v>376</v>
      </c>
      <c r="B660" t="s">
        <v>8</v>
      </c>
      <c r="C660" t="s">
        <v>377</v>
      </c>
      <c r="D660" t="s">
        <v>10</v>
      </c>
      <c r="E660" t="s">
        <v>378</v>
      </c>
      <c r="F660" t="s">
        <v>345</v>
      </c>
      <c r="G660">
        <v>1</v>
      </c>
    </row>
    <row r="661" spans="1:7" hidden="1" x14ac:dyDescent="0.35">
      <c r="A661" t="s">
        <v>376</v>
      </c>
      <c r="B661" t="s">
        <v>8</v>
      </c>
      <c r="C661" t="s">
        <v>377</v>
      </c>
      <c r="D661" t="s">
        <v>10</v>
      </c>
      <c r="E661" t="s">
        <v>38</v>
      </c>
      <c r="F661" t="s">
        <v>39</v>
      </c>
      <c r="G661">
        <v>5</v>
      </c>
    </row>
    <row r="662" spans="1:7" hidden="1" x14ac:dyDescent="0.35">
      <c r="A662" t="s">
        <v>376</v>
      </c>
      <c r="B662" t="s">
        <v>8</v>
      </c>
      <c r="C662" t="s">
        <v>377</v>
      </c>
      <c r="D662" t="s">
        <v>10</v>
      </c>
      <c r="E662" t="s">
        <v>15</v>
      </c>
      <c r="F662" t="s">
        <v>16</v>
      </c>
      <c r="G662">
        <v>11</v>
      </c>
    </row>
    <row r="663" spans="1:7" hidden="1" x14ac:dyDescent="0.35">
      <c r="A663" t="s">
        <v>376</v>
      </c>
      <c r="B663" t="s">
        <v>8</v>
      </c>
      <c r="C663" t="s">
        <v>377</v>
      </c>
      <c r="D663" t="s">
        <v>10</v>
      </c>
      <c r="E663" t="s">
        <v>202</v>
      </c>
      <c r="F663" t="s">
        <v>203</v>
      </c>
      <c r="G663">
        <v>4</v>
      </c>
    </row>
    <row r="664" spans="1:7" hidden="1" x14ac:dyDescent="0.35">
      <c r="A664" t="s">
        <v>376</v>
      </c>
      <c r="B664" t="s">
        <v>8</v>
      </c>
      <c r="C664" t="s">
        <v>377</v>
      </c>
      <c r="D664" t="s">
        <v>10</v>
      </c>
      <c r="E664" t="s">
        <v>19</v>
      </c>
      <c r="F664" t="s">
        <v>20</v>
      </c>
      <c r="G664">
        <v>46</v>
      </c>
    </row>
    <row r="665" spans="1:7" hidden="1" x14ac:dyDescent="0.35">
      <c r="A665" t="s">
        <v>376</v>
      </c>
      <c r="B665" t="s">
        <v>8</v>
      </c>
      <c r="C665" t="s">
        <v>377</v>
      </c>
      <c r="D665" t="s">
        <v>21</v>
      </c>
      <c r="E665" t="s">
        <v>22</v>
      </c>
      <c r="F665" t="s">
        <v>23</v>
      </c>
      <c r="G665">
        <v>36</v>
      </c>
    </row>
    <row r="666" spans="1:7" hidden="1" x14ac:dyDescent="0.35">
      <c r="A666" t="s">
        <v>376</v>
      </c>
      <c r="B666" t="s">
        <v>8</v>
      </c>
      <c r="C666" t="s">
        <v>377</v>
      </c>
      <c r="D666" t="s">
        <v>21</v>
      </c>
      <c r="E666" t="s">
        <v>44</v>
      </c>
      <c r="F666" t="s">
        <v>45</v>
      </c>
      <c r="G666">
        <v>32</v>
      </c>
    </row>
    <row r="667" spans="1:7" hidden="1" x14ac:dyDescent="0.35">
      <c r="A667" t="s">
        <v>376</v>
      </c>
      <c r="B667" t="s">
        <v>8</v>
      </c>
      <c r="C667" t="s">
        <v>377</v>
      </c>
      <c r="D667" t="s">
        <v>21</v>
      </c>
      <c r="E667" t="s">
        <v>28</v>
      </c>
      <c r="F667" t="s">
        <v>29</v>
      </c>
      <c r="G667">
        <v>28</v>
      </c>
    </row>
    <row r="668" spans="1:7" hidden="1" x14ac:dyDescent="0.35">
      <c r="A668" t="s">
        <v>376</v>
      </c>
      <c r="B668" t="s">
        <v>8</v>
      </c>
      <c r="C668" t="s">
        <v>377</v>
      </c>
      <c r="D668" t="s">
        <v>30</v>
      </c>
      <c r="E668" t="s">
        <v>54</v>
      </c>
      <c r="F668" t="s">
        <v>55</v>
      </c>
      <c r="G668">
        <v>39</v>
      </c>
    </row>
    <row r="669" spans="1:7" hidden="1" x14ac:dyDescent="0.35">
      <c r="A669" t="s">
        <v>376</v>
      </c>
      <c r="B669" t="s">
        <v>8</v>
      </c>
      <c r="C669" t="s">
        <v>377</v>
      </c>
      <c r="D669" t="s">
        <v>30</v>
      </c>
      <c r="E669" t="s">
        <v>379</v>
      </c>
      <c r="F669" t="s">
        <v>380</v>
      </c>
      <c r="G669">
        <v>1</v>
      </c>
    </row>
    <row r="670" spans="1:7" hidden="1" x14ac:dyDescent="0.35">
      <c r="A670" t="s">
        <v>376</v>
      </c>
      <c r="B670" t="s">
        <v>8</v>
      </c>
      <c r="C670" t="s">
        <v>377</v>
      </c>
      <c r="D670" t="s">
        <v>30</v>
      </c>
      <c r="E670" t="s">
        <v>381</v>
      </c>
      <c r="F670" t="s">
        <v>382</v>
      </c>
      <c r="G670">
        <v>1</v>
      </c>
    </row>
    <row r="671" spans="1:7" hidden="1" x14ac:dyDescent="0.35">
      <c r="A671" t="s">
        <v>376</v>
      </c>
      <c r="B671" t="s">
        <v>8</v>
      </c>
      <c r="C671" t="s">
        <v>377</v>
      </c>
      <c r="D671" t="s">
        <v>30</v>
      </c>
      <c r="E671" t="s">
        <v>243</v>
      </c>
      <c r="F671" t="s">
        <v>244</v>
      </c>
      <c r="G671">
        <v>10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F0856-1182-4DCE-92BD-7D08EFFDFADB}">
  <dimension ref="A1:C33"/>
  <sheetViews>
    <sheetView workbookViewId="0">
      <selection activeCell="C13" sqref="C13"/>
    </sheetView>
  </sheetViews>
  <sheetFormatPr defaultColWidth="10.6640625" defaultRowHeight="15.5" x14ac:dyDescent="0.35"/>
  <cols>
    <col min="1" max="1" width="10.6640625" style="3"/>
    <col min="2" max="2" width="17.5" customWidth="1"/>
  </cols>
  <sheetData>
    <row r="1" spans="1:2" ht="18.5" x14ac:dyDescent="0.45">
      <c r="A1" s="2" t="s">
        <v>484</v>
      </c>
      <c r="B1" s="1" t="s">
        <v>485</v>
      </c>
    </row>
    <row r="2" spans="1:2" x14ac:dyDescent="0.35">
      <c r="A2" s="3">
        <v>1</v>
      </c>
      <c r="B2" s="11" t="s">
        <v>571</v>
      </c>
    </row>
    <row r="3" spans="1:2" x14ac:dyDescent="0.35">
      <c r="A3" s="3">
        <v>2</v>
      </c>
      <c r="B3" s="11" t="s">
        <v>572</v>
      </c>
    </row>
    <row r="4" spans="1:2" x14ac:dyDescent="0.35">
      <c r="A4" s="3">
        <v>3</v>
      </c>
      <c r="B4" s="11" t="s">
        <v>572</v>
      </c>
    </row>
    <row r="5" spans="1:2" x14ac:dyDescent="0.35">
      <c r="A5" s="3">
        <v>4</v>
      </c>
      <c r="B5" s="11" t="s">
        <v>571</v>
      </c>
    </row>
    <row r="6" spans="1:2" x14ac:dyDescent="0.35">
      <c r="A6" s="3">
        <v>5</v>
      </c>
      <c r="B6" s="11" t="s">
        <v>572</v>
      </c>
    </row>
    <row r="7" spans="1:2" x14ac:dyDescent="0.35">
      <c r="A7" s="3">
        <v>6</v>
      </c>
      <c r="B7" s="11" t="s">
        <v>573</v>
      </c>
    </row>
    <row r="8" spans="1:2" x14ac:dyDescent="0.35">
      <c r="A8" s="3">
        <v>7</v>
      </c>
      <c r="B8" s="11" t="s">
        <v>572</v>
      </c>
    </row>
    <row r="9" spans="1:2" x14ac:dyDescent="0.35">
      <c r="A9" s="3">
        <v>8</v>
      </c>
      <c r="B9" s="12" t="s">
        <v>572</v>
      </c>
    </row>
    <row r="10" spans="1:2" x14ac:dyDescent="0.35">
      <c r="A10" s="3">
        <v>9</v>
      </c>
      <c r="B10" s="11" t="s">
        <v>572</v>
      </c>
    </row>
    <row r="11" spans="1:2" x14ac:dyDescent="0.35">
      <c r="A11" s="3">
        <v>10</v>
      </c>
      <c r="B11" s="11" t="s">
        <v>571</v>
      </c>
    </row>
    <row r="12" spans="1:2" x14ac:dyDescent="0.35">
      <c r="A12" s="3">
        <v>11</v>
      </c>
      <c r="B12" s="11" t="s">
        <v>572</v>
      </c>
    </row>
    <row r="13" spans="1:2" x14ac:dyDescent="0.35">
      <c r="A13" s="3">
        <v>12</v>
      </c>
      <c r="B13" s="11" t="s">
        <v>572</v>
      </c>
    </row>
    <row r="14" spans="1:2" x14ac:dyDescent="0.35">
      <c r="A14" s="3">
        <v>13</v>
      </c>
      <c r="B14" s="12" t="s">
        <v>572</v>
      </c>
    </row>
    <row r="15" spans="1:2" x14ac:dyDescent="0.35">
      <c r="A15" s="3">
        <v>14</v>
      </c>
      <c r="B15" s="12" t="s">
        <v>574</v>
      </c>
    </row>
    <row r="16" spans="1:2" x14ac:dyDescent="0.35">
      <c r="A16" s="3">
        <v>15</v>
      </c>
      <c r="B16" s="11" t="s">
        <v>571</v>
      </c>
    </row>
    <row r="17" spans="1:2" x14ac:dyDescent="0.35">
      <c r="A17" s="3">
        <v>16</v>
      </c>
      <c r="B17" s="11" t="s">
        <v>574</v>
      </c>
    </row>
    <row r="18" spans="1:2" x14ac:dyDescent="0.35">
      <c r="A18" s="3">
        <v>17</v>
      </c>
      <c r="B18" s="11" t="s">
        <v>573</v>
      </c>
    </row>
    <row r="19" spans="1:2" x14ac:dyDescent="0.35">
      <c r="A19" s="3">
        <v>18</v>
      </c>
      <c r="B19" s="11" t="s">
        <v>574</v>
      </c>
    </row>
    <row r="20" spans="1:2" x14ac:dyDescent="0.35">
      <c r="A20" s="3">
        <v>19</v>
      </c>
      <c r="B20" s="11" t="s">
        <v>573</v>
      </c>
    </row>
    <row r="21" spans="1:2" x14ac:dyDescent="0.35">
      <c r="A21" s="3">
        <v>20</v>
      </c>
      <c r="B21" s="11" t="s">
        <v>571</v>
      </c>
    </row>
    <row r="22" spans="1:2" x14ac:dyDescent="0.35">
      <c r="A22" s="3">
        <v>21</v>
      </c>
      <c r="B22" s="11" t="s">
        <v>571</v>
      </c>
    </row>
    <row r="23" spans="1:2" x14ac:dyDescent="0.35">
      <c r="A23" s="3">
        <v>22</v>
      </c>
      <c r="B23" s="11" t="s">
        <v>571</v>
      </c>
    </row>
    <row r="24" spans="1:2" x14ac:dyDescent="0.35">
      <c r="A24" s="3">
        <v>23</v>
      </c>
      <c r="B24" s="11"/>
    </row>
    <row r="25" spans="1:2" x14ac:dyDescent="0.35">
      <c r="A25" s="3">
        <v>24</v>
      </c>
      <c r="B25" s="11"/>
    </row>
    <row r="26" spans="1:2" x14ac:dyDescent="0.35">
      <c r="A26" s="3">
        <v>25</v>
      </c>
      <c r="B26" s="11"/>
    </row>
    <row r="27" spans="1:2" x14ac:dyDescent="0.35">
      <c r="A27" s="3">
        <v>26</v>
      </c>
      <c r="B27" s="11"/>
    </row>
    <row r="28" spans="1:2" x14ac:dyDescent="0.35">
      <c r="A28" s="3">
        <v>27</v>
      </c>
      <c r="B28" s="11"/>
    </row>
    <row r="29" spans="1:2" x14ac:dyDescent="0.35">
      <c r="A29" s="3">
        <v>28</v>
      </c>
      <c r="B29" s="11"/>
    </row>
    <row r="30" spans="1:2" x14ac:dyDescent="0.35">
      <c r="A30" s="3">
        <v>29</v>
      </c>
      <c r="B30" s="11"/>
    </row>
    <row r="31" spans="1:2" x14ac:dyDescent="0.35">
      <c r="A31" s="3">
        <v>30</v>
      </c>
      <c r="B31" s="11"/>
    </row>
    <row r="33" spans="2:3" x14ac:dyDescent="0.35">
      <c r="B33" t="s">
        <v>568</v>
      </c>
      <c r="C33" s="8">
        <f>1-(3/22)</f>
        <v>0.86363636363636365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7028E-CD5A-415C-AA27-AE9869F5842D}">
  <dimension ref="A1:D33"/>
  <sheetViews>
    <sheetView workbookViewId="0">
      <selection activeCell="C33" sqref="C33"/>
    </sheetView>
  </sheetViews>
  <sheetFormatPr defaultColWidth="10.6640625" defaultRowHeight="15.5" x14ac:dyDescent="0.35"/>
  <cols>
    <col min="1" max="1" width="10.6640625" style="3"/>
    <col min="2" max="2" width="11.25" customWidth="1"/>
    <col min="3" max="3" width="8.6640625" customWidth="1"/>
  </cols>
  <sheetData>
    <row r="1" spans="1:4" ht="18.5" x14ac:dyDescent="0.45">
      <c r="A1" s="2" t="s">
        <v>484</v>
      </c>
      <c r="B1" s="1" t="s">
        <v>485</v>
      </c>
      <c r="D1" s="1" t="s">
        <v>575</v>
      </c>
    </row>
    <row r="2" spans="1:4" x14ac:dyDescent="0.35">
      <c r="A2" s="3">
        <v>1</v>
      </c>
      <c r="B2" s="11" t="s">
        <v>573</v>
      </c>
      <c r="C2" s="65" t="b">
        <v>1</v>
      </c>
    </row>
    <row r="3" spans="1:4" x14ac:dyDescent="0.35">
      <c r="A3" s="3">
        <v>2</v>
      </c>
      <c r="B3" s="66" t="s">
        <v>574</v>
      </c>
      <c r="C3" s="65" t="b">
        <v>0</v>
      </c>
      <c r="D3" t="s">
        <v>571</v>
      </c>
    </row>
    <row r="4" spans="1:4" x14ac:dyDescent="0.35">
      <c r="A4" s="3">
        <v>3</v>
      </c>
      <c r="B4" s="11" t="s">
        <v>573</v>
      </c>
      <c r="C4" s="65" t="b">
        <v>1</v>
      </c>
    </row>
    <row r="5" spans="1:4" x14ac:dyDescent="0.35">
      <c r="A5" s="3">
        <v>4</v>
      </c>
      <c r="B5" s="11" t="s">
        <v>571</v>
      </c>
      <c r="C5" s="65" t="b">
        <v>1</v>
      </c>
    </row>
    <row r="6" spans="1:4" x14ac:dyDescent="0.35">
      <c r="A6" s="3">
        <v>5</v>
      </c>
      <c r="B6" s="11" t="s">
        <v>574</v>
      </c>
      <c r="C6" s="65" t="b">
        <v>1</v>
      </c>
    </row>
    <row r="7" spans="1:4" x14ac:dyDescent="0.35">
      <c r="A7" s="3">
        <v>6</v>
      </c>
      <c r="B7" s="11" t="s">
        <v>573</v>
      </c>
      <c r="C7" s="65" t="b">
        <v>1</v>
      </c>
    </row>
    <row r="8" spans="1:4" x14ac:dyDescent="0.35">
      <c r="A8" s="3">
        <v>7</v>
      </c>
      <c r="B8" s="11" t="s">
        <v>571</v>
      </c>
      <c r="C8" s="65" t="b">
        <v>1</v>
      </c>
    </row>
    <row r="9" spans="1:4" x14ac:dyDescent="0.35">
      <c r="A9" s="3">
        <v>8</v>
      </c>
      <c r="B9" s="11" t="s">
        <v>571</v>
      </c>
      <c r="C9" s="65" t="b">
        <v>1</v>
      </c>
    </row>
    <row r="10" spans="1:4" x14ac:dyDescent="0.35">
      <c r="A10" s="3">
        <v>9</v>
      </c>
      <c r="B10" s="11" t="s">
        <v>572</v>
      </c>
      <c r="C10" s="65" t="b">
        <v>1</v>
      </c>
    </row>
    <row r="11" spans="1:4" x14ac:dyDescent="0.35">
      <c r="A11" s="3">
        <v>10</v>
      </c>
      <c r="B11" s="11" t="s">
        <v>572</v>
      </c>
      <c r="C11" s="65" t="b">
        <v>1</v>
      </c>
    </row>
    <row r="12" spans="1:4" x14ac:dyDescent="0.35">
      <c r="A12" s="3">
        <v>11</v>
      </c>
      <c r="B12" s="11" t="s">
        <v>573</v>
      </c>
      <c r="C12" s="65" t="b">
        <v>1</v>
      </c>
    </row>
    <row r="13" spans="1:4" x14ac:dyDescent="0.35">
      <c r="A13" s="3">
        <v>12</v>
      </c>
      <c r="B13" s="11" t="s">
        <v>574</v>
      </c>
      <c r="C13" s="65" t="b">
        <v>1</v>
      </c>
    </row>
    <row r="14" spans="1:4" x14ac:dyDescent="0.35">
      <c r="A14" s="3">
        <v>13</v>
      </c>
      <c r="B14" s="11" t="s">
        <v>571</v>
      </c>
      <c r="C14" s="65" t="b">
        <v>1</v>
      </c>
    </row>
    <row r="15" spans="1:4" x14ac:dyDescent="0.35">
      <c r="A15" s="3">
        <v>14</v>
      </c>
      <c r="B15" s="11" t="s">
        <v>572</v>
      </c>
      <c r="C15" s="65" t="b">
        <v>1</v>
      </c>
    </row>
    <row r="16" spans="1:4" x14ac:dyDescent="0.35">
      <c r="A16" s="3">
        <v>15</v>
      </c>
      <c r="B16" s="66" t="s">
        <v>574</v>
      </c>
      <c r="C16" s="65" t="b">
        <v>0</v>
      </c>
      <c r="D16" t="s">
        <v>573</v>
      </c>
    </row>
    <row r="17" spans="1:4" x14ac:dyDescent="0.35">
      <c r="A17" s="3">
        <v>16</v>
      </c>
      <c r="B17" s="11" t="s">
        <v>573</v>
      </c>
      <c r="C17" s="65" t="b">
        <v>1</v>
      </c>
    </row>
    <row r="18" spans="1:4" x14ac:dyDescent="0.35">
      <c r="A18" s="3">
        <v>17</v>
      </c>
      <c r="B18" s="11" t="s">
        <v>573</v>
      </c>
      <c r="C18" s="65" t="b">
        <v>1</v>
      </c>
    </row>
    <row r="19" spans="1:4" x14ac:dyDescent="0.35">
      <c r="A19" s="3">
        <v>18</v>
      </c>
      <c r="B19" s="11" t="s">
        <v>574</v>
      </c>
      <c r="C19" s="65" t="b">
        <v>1</v>
      </c>
    </row>
    <row r="20" spans="1:4" x14ac:dyDescent="0.35">
      <c r="A20" s="3">
        <v>19</v>
      </c>
      <c r="B20" s="11" t="s">
        <v>571</v>
      </c>
      <c r="C20" s="65" t="b">
        <v>1</v>
      </c>
    </row>
    <row r="21" spans="1:4" x14ac:dyDescent="0.35">
      <c r="A21" s="3">
        <v>20</v>
      </c>
      <c r="B21" s="66" t="s">
        <v>571</v>
      </c>
      <c r="C21" s="65" t="b">
        <v>0</v>
      </c>
      <c r="D21" t="s">
        <v>572</v>
      </c>
    </row>
    <row r="22" spans="1:4" x14ac:dyDescent="0.35">
      <c r="A22" s="3">
        <v>21</v>
      </c>
      <c r="B22" s="66" t="s">
        <v>571</v>
      </c>
      <c r="C22" s="65" t="b">
        <v>0</v>
      </c>
      <c r="D22" t="s">
        <v>572</v>
      </c>
    </row>
    <row r="23" spans="1:4" x14ac:dyDescent="0.35">
      <c r="A23" s="3">
        <v>22</v>
      </c>
      <c r="B23" s="11" t="s">
        <v>573</v>
      </c>
      <c r="C23" s="65" t="b">
        <v>1</v>
      </c>
    </row>
    <row r="24" spans="1:4" x14ac:dyDescent="0.35">
      <c r="A24" s="3">
        <v>23</v>
      </c>
      <c r="B24" s="11" t="s">
        <v>574</v>
      </c>
      <c r="C24" s="65" t="b">
        <v>1</v>
      </c>
    </row>
    <row r="25" spans="1:4" x14ac:dyDescent="0.35">
      <c r="A25" s="3">
        <v>24</v>
      </c>
      <c r="B25" s="66" t="s">
        <v>572</v>
      </c>
      <c r="C25" s="65" t="b">
        <v>0</v>
      </c>
      <c r="D25" t="s">
        <v>573</v>
      </c>
    </row>
    <row r="26" spans="1:4" x14ac:dyDescent="0.35">
      <c r="A26" s="3">
        <v>25</v>
      </c>
      <c r="B26" s="11" t="s">
        <v>574</v>
      </c>
      <c r="C26" s="65" t="b">
        <v>1</v>
      </c>
    </row>
    <row r="27" spans="1:4" x14ac:dyDescent="0.35">
      <c r="B27" s="11"/>
    </row>
    <row r="28" spans="1:4" x14ac:dyDescent="0.35">
      <c r="B28" s="11"/>
    </row>
    <row r="29" spans="1:4" x14ac:dyDescent="0.35">
      <c r="B29" s="11"/>
    </row>
    <row r="30" spans="1:4" x14ac:dyDescent="0.35">
      <c r="B30" s="11"/>
    </row>
    <row r="31" spans="1:4" x14ac:dyDescent="0.35">
      <c r="B31" s="11"/>
    </row>
    <row r="33" spans="2:3" x14ac:dyDescent="0.35">
      <c r="B33" t="s">
        <v>568</v>
      </c>
      <c r="C33" s="8">
        <f>(C2+C3+C4+C5+C6+C7+C8+C9+C10+C11+C12+C13+C14+C15+C16+C17+C18+C19+C20+C21+C22+C23+C24+C25+C26)/25</f>
        <v>0.8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B41CF-7562-4A37-B4F0-4633C12BEEB6}">
  <dimension ref="A1:D33"/>
  <sheetViews>
    <sheetView tabSelected="1" workbookViewId="0">
      <selection activeCell="F16" sqref="F16"/>
    </sheetView>
  </sheetViews>
  <sheetFormatPr defaultColWidth="10.6640625" defaultRowHeight="15.5" x14ac:dyDescent="0.35"/>
  <cols>
    <col min="1" max="1" width="10.6640625" style="3"/>
    <col min="2" max="2" width="11.25" customWidth="1"/>
    <col min="3" max="3" width="8.6640625" customWidth="1"/>
  </cols>
  <sheetData>
    <row r="1" spans="1:4" ht="18.5" x14ac:dyDescent="0.45">
      <c r="A1" s="2" t="s">
        <v>484</v>
      </c>
      <c r="B1" s="1" t="s">
        <v>485</v>
      </c>
      <c r="D1" s="1" t="s">
        <v>575</v>
      </c>
    </row>
    <row r="2" spans="1:4" x14ac:dyDescent="0.35">
      <c r="A2" s="3">
        <v>1</v>
      </c>
      <c r="B2" s="11"/>
      <c r="C2" s="65" t="b">
        <v>0</v>
      </c>
    </row>
    <row r="3" spans="1:4" x14ac:dyDescent="0.35">
      <c r="A3" s="3">
        <v>2</v>
      </c>
      <c r="B3" s="11"/>
      <c r="C3" s="65" t="b">
        <v>0</v>
      </c>
    </row>
    <row r="4" spans="1:4" x14ac:dyDescent="0.35">
      <c r="A4" s="3">
        <v>3</v>
      </c>
      <c r="B4" s="11"/>
      <c r="C4" s="65" t="b">
        <v>0</v>
      </c>
    </row>
    <row r="5" spans="1:4" x14ac:dyDescent="0.35">
      <c r="A5" s="3">
        <v>4</v>
      </c>
      <c r="B5" s="11"/>
      <c r="C5" s="65" t="b">
        <v>0</v>
      </c>
    </row>
    <row r="6" spans="1:4" x14ac:dyDescent="0.35">
      <c r="A6" s="3">
        <v>5</v>
      </c>
      <c r="B6" s="11"/>
      <c r="C6" s="65" t="b">
        <v>0</v>
      </c>
    </row>
    <row r="7" spans="1:4" x14ac:dyDescent="0.35">
      <c r="A7" s="3">
        <v>6</v>
      </c>
      <c r="B7" s="11"/>
      <c r="C7" s="65" t="b">
        <v>0</v>
      </c>
    </row>
    <row r="8" spans="1:4" x14ac:dyDescent="0.35">
      <c r="A8" s="3">
        <v>7</v>
      </c>
      <c r="B8" s="11"/>
      <c r="C8" s="65" t="b">
        <v>0</v>
      </c>
    </row>
    <row r="9" spans="1:4" x14ac:dyDescent="0.35">
      <c r="A9" s="3">
        <v>8</v>
      </c>
      <c r="B9" s="11"/>
      <c r="C9" s="65" t="b">
        <v>0</v>
      </c>
    </row>
    <row r="10" spans="1:4" x14ac:dyDescent="0.35">
      <c r="A10" s="3">
        <v>9</v>
      </c>
      <c r="B10" s="11"/>
      <c r="C10" s="65" t="b">
        <v>0</v>
      </c>
    </row>
    <row r="11" spans="1:4" x14ac:dyDescent="0.35">
      <c r="A11" s="3">
        <v>10</v>
      </c>
      <c r="B11" s="11"/>
      <c r="C11" s="65" t="b">
        <v>0</v>
      </c>
    </row>
    <row r="12" spans="1:4" x14ac:dyDescent="0.35">
      <c r="A12" s="3">
        <v>11</v>
      </c>
      <c r="B12" s="11"/>
      <c r="C12" s="65" t="b">
        <v>0</v>
      </c>
    </row>
    <row r="13" spans="1:4" x14ac:dyDescent="0.35">
      <c r="A13" s="3">
        <v>12</v>
      </c>
      <c r="B13" s="11"/>
      <c r="C13" s="65" t="b">
        <v>0</v>
      </c>
    </row>
    <row r="14" spans="1:4" x14ac:dyDescent="0.35">
      <c r="A14" s="3">
        <v>13</v>
      </c>
      <c r="B14" s="11"/>
      <c r="C14" s="65" t="b">
        <v>0</v>
      </c>
    </row>
    <row r="15" spans="1:4" x14ac:dyDescent="0.35">
      <c r="A15" s="3">
        <v>14</v>
      </c>
      <c r="B15" s="11"/>
      <c r="C15" s="65" t="b">
        <v>0</v>
      </c>
    </row>
    <row r="16" spans="1:4" x14ac:dyDescent="0.35">
      <c r="A16" s="3">
        <v>15</v>
      </c>
      <c r="B16" s="11"/>
      <c r="C16" s="65" t="b">
        <v>0</v>
      </c>
    </row>
    <row r="17" spans="1:3" x14ac:dyDescent="0.35">
      <c r="A17" s="3">
        <v>16</v>
      </c>
      <c r="B17" s="11"/>
      <c r="C17" s="65" t="b">
        <v>0</v>
      </c>
    </row>
    <row r="18" spans="1:3" x14ac:dyDescent="0.35">
      <c r="A18" s="3">
        <v>17</v>
      </c>
      <c r="B18" s="11"/>
      <c r="C18" s="65" t="b">
        <v>0</v>
      </c>
    </row>
    <row r="19" spans="1:3" x14ac:dyDescent="0.35">
      <c r="A19" s="3">
        <v>18</v>
      </c>
      <c r="B19" s="11"/>
      <c r="C19" s="65" t="b">
        <v>0</v>
      </c>
    </row>
    <row r="20" spans="1:3" x14ac:dyDescent="0.35">
      <c r="A20" s="3">
        <v>19</v>
      </c>
      <c r="B20" s="11"/>
      <c r="C20" s="65" t="b">
        <v>0</v>
      </c>
    </row>
    <row r="21" spans="1:3" x14ac:dyDescent="0.35">
      <c r="A21" s="3">
        <v>20</v>
      </c>
      <c r="B21" s="11"/>
      <c r="C21" s="65" t="b">
        <v>0</v>
      </c>
    </row>
    <row r="22" spans="1:3" x14ac:dyDescent="0.35">
      <c r="A22" s="3">
        <v>21</v>
      </c>
      <c r="B22" s="11"/>
      <c r="C22" s="65" t="b">
        <v>0</v>
      </c>
    </row>
    <row r="23" spans="1:3" x14ac:dyDescent="0.35">
      <c r="A23" s="3">
        <v>22</v>
      </c>
      <c r="B23" s="11"/>
      <c r="C23" s="65" t="b">
        <v>0</v>
      </c>
    </row>
    <row r="24" spans="1:3" x14ac:dyDescent="0.35">
      <c r="A24" s="3">
        <v>23</v>
      </c>
      <c r="B24" s="11"/>
      <c r="C24" s="65" t="b">
        <v>0</v>
      </c>
    </row>
    <row r="25" spans="1:3" x14ac:dyDescent="0.35">
      <c r="A25" s="3">
        <v>24</v>
      </c>
      <c r="B25" s="11"/>
      <c r="C25" s="65" t="b">
        <v>0</v>
      </c>
    </row>
    <row r="26" spans="1:3" x14ac:dyDescent="0.35">
      <c r="A26" s="3">
        <v>25</v>
      </c>
      <c r="B26" s="11"/>
      <c r="C26" s="65" t="b">
        <v>0</v>
      </c>
    </row>
    <row r="27" spans="1:3" x14ac:dyDescent="0.35">
      <c r="B27" s="11"/>
    </row>
    <row r="28" spans="1:3" x14ac:dyDescent="0.35">
      <c r="B28" s="11"/>
    </row>
    <row r="29" spans="1:3" x14ac:dyDescent="0.35">
      <c r="B29" s="11"/>
    </row>
    <row r="30" spans="1:3" x14ac:dyDescent="0.35">
      <c r="B30" s="11"/>
    </row>
    <row r="31" spans="1:3" x14ac:dyDescent="0.35">
      <c r="B31" s="11"/>
    </row>
    <row r="33" spans="2:3" x14ac:dyDescent="0.35">
      <c r="B33" t="s">
        <v>568</v>
      </c>
      <c r="C33" s="8">
        <f>(C2+C3+C4+C5+C6+C7+C8+C9+C10+C11+C12+C13+C14+C15+C16+C17+C18+C19+C20+C21+C22+C23+C24+C25+C26)/25</f>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16FBF-CE85-40A8-81C5-66FA99BC879C}">
  <dimension ref="A1"/>
  <sheetViews>
    <sheetView workbookViewId="0">
      <selection activeCell="M38" sqref="M38"/>
    </sheetView>
  </sheetViews>
  <sheetFormatPr defaultRowHeight="15.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Definitions</vt:lpstr>
      <vt:lpstr>Processes &amp; Knowledge Areas</vt:lpstr>
      <vt:lpstr>All ITTOs Summary</vt:lpstr>
      <vt:lpstr>Process Reference</vt:lpstr>
      <vt:lpstr>Inputs</vt:lpstr>
      <vt:lpstr>Tools &amp; Techniques</vt:lpstr>
      <vt:lpstr>Outputs</vt:lpstr>
      <vt:lpstr>Sheet1</vt:lpstr>
      <vt:lpstr>Diagrams</vt:lpstr>
      <vt:lpstr>CH2 Terms</vt:lpstr>
      <vt:lpstr>CH3 Processes</vt:lpstr>
      <vt:lpstr>CH4 Agile</vt:lpstr>
      <vt:lpstr>CH5 IntegrationMGMT</vt:lpstr>
      <vt:lpstr>CH6 Project Scope Management</vt:lpstr>
      <vt:lpstr>CH7 Project Schedule Management</vt:lpstr>
      <vt:lpstr>CH8 Project Cost Management</vt:lpstr>
      <vt:lpstr>Interactive Dashboard</vt:lpstr>
      <vt:lpstr>CH9 Project Quality Management</vt:lpstr>
      <vt:lpstr>CH10 Project Resource Managemen</vt:lpstr>
      <vt:lpstr>CH10 Project Comms Manag</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Eric Hayes</cp:lastModifiedBy>
  <dcterms:modified xsi:type="dcterms:W3CDTF">2025-12-10T22:55:31Z</dcterms:modified>
</cp:coreProperties>
</file>